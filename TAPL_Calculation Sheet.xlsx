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Z:\01_Proposals\2025 Proposals\F25-00239 - TAPL_Farukhnagar_Arm Sorter &amp; Linear CBS\06_Drawings\10-Layout\Solution 1\Option 2\"/>
    </mc:Choice>
  </mc:AlternateContent>
  <xr:revisionPtr revIDLastSave="0" documentId="13_ncr:1_{42DA76FA-98A6-4A7B-A589-ACA639A38315}" xr6:coauthVersionLast="47" xr6:coauthVersionMax="47" xr10:uidLastSave="{00000000-0000-0000-0000-000000000000}"/>
  <bookViews>
    <workbookView xWindow="-120" yWindow="-120" windowWidth="29040" windowHeight="15840" xr2:uid="{96E0CA1E-303B-45A6-98C7-8B68592B2661}"/>
  </bookViews>
  <sheets>
    <sheet name="Linear C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24" i="1"/>
  <c r="B26" i="1" s="1"/>
  <c r="B27" i="1" s="1"/>
  <c r="B31" i="1" s="1"/>
  <c r="B28" i="1" l="1"/>
  <c r="B30" i="1" s="1"/>
  <c r="B10" i="1" s="1"/>
  <c r="B8" i="1" s="1"/>
</calcChain>
</file>

<file path=xl/sharedStrings.xml><?xml version="1.0" encoding="utf-8"?>
<sst xmlns="http://schemas.openxmlformats.org/spreadsheetml/2006/main" count="60" uniqueCount="43">
  <si>
    <t>Specifications</t>
  </si>
  <si>
    <t>CBS</t>
  </si>
  <si>
    <t>Unit</t>
  </si>
  <si>
    <t>For Straight Induct</t>
  </si>
  <si>
    <t>Sorter Type</t>
  </si>
  <si>
    <t>Linear CBS</t>
  </si>
  <si>
    <t>Max Product Size (LxWxH)</t>
  </si>
  <si>
    <t>600x400x400</t>
  </si>
  <si>
    <t>mm</t>
  </si>
  <si>
    <t>Min Product Size (LxWxH)</t>
  </si>
  <si>
    <t>100x100x50</t>
  </si>
  <si>
    <t>Max Product Weight/Carrier</t>
  </si>
  <si>
    <t>Kg</t>
  </si>
  <si>
    <t>Min Product Weight</t>
  </si>
  <si>
    <t>gm</t>
  </si>
  <si>
    <t>Sorter Speed</t>
  </si>
  <si>
    <t>m/s</t>
  </si>
  <si>
    <t>Sorter Carrier Pitch</t>
  </si>
  <si>
    <t>m</t>
  </si>
  <si>
    <t>Belts/Hour</t>
  </si>
  <si>
    <t>BPH</t>
  </si>
  <si>
    <t>Sorter Running Height</t>
  </si>
  <si>
    <t>No. of Sliding Collection Chute</t>
  </si>
  <si>
    <t>Nos.</t>
  </si>
  <si>
    <t>No. of Rejection</t>
  </si>
  <si>
    <t>No. of Sortfail Chutes</t>
  </si>
  <si>
    <t>Total number of Chutes</t>
  </si>
  <si>
    <t>PTL/Chute</t>
  </si>
  <si>
    <t>Operator Working Height at Inducts</t>
  </si>
  <si>
    <t>Deration</t>
  </si>
  <si>
    <t>TPH Calculation</t>
  </si>
  <si>
    <t>Straight Induct</t>
  </si>
  <si>
    <t>Single Belt Worth Shipments</t>
  </si>
  <si>
    <t>%</t>
  </si>
  <si>
    <t>Dual Belt Worth Shipments</t>
  </si>
  <si>
    <t>Feeding Capacity for Single</t>
  </si>
  <si>
    <t>PPH</t>
  </si>
  <si>
    <t>Feeding Capacity for Single + Dual (Design)</t>
  </si>
  <si>
    <t>Feeding Capacity for Single + Dual (Operational)</t>
  </si>
  <si>
    <t>Belt Required</t>
  </si>
  <si>
    <t>Belt Width(Induct)</t>
  </si>
  <si>
    <t>Total Belt Required</t>
  </si>
  <si>
    <t>Total Operational TPH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</si>
</sst>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1" fillId="6" borderId="15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19" xfId="0" applyFont="1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9" fontId="0" fillId="2" borderId="20" xfId="1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7F6B-B039-4D29-94B2-BDF6501B4F30}">
  <dimension ref="A1:H33"/>
  <sheetViews>
    <sheetView tabSelected="1" zoomScale="110" zoomScaleNormal="110" workbookViewId="0">
      <selection activeCell="G26" sqref="G26"/>
    </sheetView>
  </sheetViews>
  <sheetFormatPr defaultColWidth="9.140625" defaultRowHeight="15"/>
  <cols>
    <col min="1" max="1" width="41.42578125" style="11" customWidth="1"/>
    <col min="2" max="2" width="13.7109375" style="2" bestFit="1" customWidth="1"/>
    <col min="3" max="3" width="5.5703125" style="2" bestFit="1" customWidth="1"/>
    <col min="4" max="4" width="30.28515625" style="2" bestFit="1" customWidth="1"/>
    <col min="5" max="5" width="13.42578125" style="2" bestFit="1" customWidth="1"/>
    <col min="6" max="6" width="4.85546875" style="2" bestFit="1" customWidth="1"/>
    <col min="7" max="8" width="9.140625" style="2"/>
    <col min="9" max="9" width="10.7109375" style="2" customWidth="1"/>
    <col min="10" max="10" width="33" style="2" bestFit="1" customWidth="1"/>
    <col min="11" max="16384" width="9.140625" style="2"/>
  </cols>
  <sheetData>
    <row r="1" spans="1:4">
      <c r="A1" s="36"/>
      <c r="B1" s="36"/>
      <c r="C1" s="37"/>
      <c r="D1" s="1"/>
    </row>
    <row r="2" spans="1:4" s="6" customFormat="1">
      <c r="A2" s="3" t="s">
        <v>0</v>
      </c>
      <c r="B2" s="4" t="s">
        <v>1</v>
      </c>
      <c r="C2" s="3" t="s">
        <v>2</v>
      </c>
      <c r="D2" s="5" t="s">
        <v>3</v>
      </c>
    </row>
    <row r="3" spans="1:4">
      <c r="A3" s="7" t="s">
        <v>4</v>
      </c>
      <c r="B3" s="8" t="s">
        <v>5</v>
      </c>
      <c r="C3" s="1"/>
    </row>
    <row r="4" spans="1:4">
      <c r="A4" s="7" t="s">
        <v>6</v>
      </c>
      <c r="B4" s="8" t="s">
        <v>7</v>
      </c>
      <c r="C4" s="1" t="s">
        <v>8</v>
      </c>
    </row>
    <row r="5" spans="1:4">
      <c r="A5" s="7" t="s">
        <v>9</v>
      </c>
      <c r="B5" s="8" t="s">
        <v>10</v>
      </c>
      <c r="C5" s="1" t="s">
        <v>8</v>
      </c>
    </row>
    <row r="6" spans="1:4">
      <c r="A6" s="7" t="s">
        <v>11</v>
      </c>
      <c r="B6" s="8"/>
      <c r="C6" s="1" t="s">
        <v>12</v>
      </c>
    </row>
    <row r="7" spans="1:4">
      <c r="A7" s="7" t="s">
        <v>13</v>
      </c>
      <c r="B7" s="8"/>
      <c r="C7" s="1" t="s">
        <v>14</v>
      </c>
    </row>
    <row r="8" spans="1:4">
      <c r="A8" s="7" t="s">
        <v>15</v>
      </c>
      <c r="B8" s="27">
        <f>(B10*B9)/3600</f>
        <v>1.3194444444444444</v>
      </c>
      <c r="C8" s="1" t="s">
        <v>16</v>
      </c>
      <c r="D8" s="28"/>
    </row>
    <row r="9" spans="1:4">
      <c r="A9" s="7" t="s">
        <v>17</v>
      </c>
      <c r="B9" s="9">
        <v>0.5</v>
      </c>
      <c r="C9" s="1" t="s">
        <v>18</v>
      </c>
    </row>
    <row r="10" spans="1:4">
      <c r="A10" s="7" t="s">
        <v>19</v>
      </c>
      <c r="B10" s="10">
        <f>B30</f>
        <v>9500</v>
      </c>
      <c r="C10" s="1" t="s">
        <v>20</v>
      </c>
    </row>
    <row r="11" spans="1:4">
      <c r="A11" s="7" t="s">
        <v>21</v>
      </c>
      <c r="B11" s="1">
        <v>1700</v>
      </c>
      <c r="C11" s="1" t="s">
        <v>8</v>
      </c>
    </row>
    <row r="12" spans="1:4">
      <c r="A12" s="7" t="s">
        <v>22</v>
      </c>
      <c r="B12" s="1">
        <v>14</v>
      </c>
      <c r="C12" s="1" t="s">
        <v>23</v>
      </c>
    </row>
    <row r="13" spans="1:4">
      <c r="A13" s="7" t="s">
        <v>24</v>
      </c>
      <c r="B13" s="1">
        <v>1</v>
      </c>
      <c r="C13" s="1" t="s">
        <v>23</v>
      </c>
    </row>
    <row r="14" spans="1:4">
      <c r="A14" s="7" t="s">
        <v>25</v>
      </c>
      <c r="B14" s="1">
        <v>1</v>
      </c>
      <c r="C14" s="1" t="s">
        <v>23</v>
      </c>
    </row>
    <row r="15" spans="1:4">
      <c r="A15" s="7" t="s">
        <v>26</v>
      </c>
      <c r="B15" s="1">
        <f>B12+B13+B14</f>
        <v>16</v>
      </c>
      <c r="C15" s="1" t="s">
        <v>23</v>
      </c>
    </row>
    <row r="16" spans="1:4">
      <c r="A16" s="7" t="s">
        <v>27</v>
      </c>
      <c r="B16" s="1">
        <v>0</v>
      </c>
      <c r="C16" s="1" t="s">
        <v>23</v>
      </c>
      <c r="D16" s="28"/>
    </row>
    <row r="17" spans="1:8">
      <c r="A17" s="7" t="s">
        <v>28</v>
      </c>
      <c r="B17" s="1">
        <v>800</v>
      </c>
      <c r="C17" s="1" t="s">
        <v>8</v>
      </c>
    </row>
    <row r="19" spans="1:8" ht="15.75" thickBot="1">
      <c r="B19" s="33" t="s">
        <v>29</v>
      </c>
      <c r="C19" s="34">
        <v>0.15</v>
      </c>
    </row>
    <row r="20" spans="1:8" ht="15.75" thickBot="1">
      <c r="A20" s="29" t="s">
        <v>30</v>
      </c>
      <c r="B20" s="30"/>
      <c r="C20" s="35"/>
    </row>
    <row r="21" spans="1:8" ht="15.75" thickBot="1">
      <c r="A21" s="38" t="s">
        <v>31</v>
      </c>
      <c r="B21" s="39"/>
      <c r="C21" s="40"/>
    </row>
    <row r="22" spans="1:8">
      <c r="A22" s="12" t="s">
        <v>0</v>
      </c>
      <c r="B22" s="13" t="s">
        <v>1</v>
      </c>
      <c r="C22" s="14" t="s">
        <v>2</v>
      </c>
      <c r="D22" s="6"/>
    </row>
    <row r="23" spans="1:8">
      <c r="A23" s="15" t="s">
        <v>32</v>
      </c>
      <c r="B23" s="10">
        <v>100</v>
      </c>
      <c r="C23" s="16" t="s">
        <v>33</v>
      </c>
      <c r="D23" s="6"/>
    </row>
    <row r="24" spans="1:8">
      <c r="A24" s="15" t="s">
        <v>34</v>
      </c>
      <c r="B24" s="10">
        <f>100-B23</f>
        <v>0</v>
      </c>
      <c r="C24" s="16" t="s">
        <v>33</v>
      </c>
      <c r="D24" s="6"/>
    </row>
    <row r="25" spans="1:8">
      <c r="A25" s="15" t="s">
        <v>35</v>
      </c>
      <c r="B25" s="8">
        <v>9500</v>
      </c>
      <c r="C25" s="16" t="s">
        <v>36</v>
      </c>
      <c r="D25" s="6"/>
      <c r="H25" s="17"/>
    </row>
    <row r="26" spans="1:8">
      <c r="A26" s="15" t="s">
        <v>37</v>
      </c>
      <c r="B26" s="18">
        <f>B25*100/(100+B24)</f>
        <v>9500</v>
      </c>
      <c r="C26" s="16" t="s">
        <v>36</v>
      </c>
      <c r="D26" s="6"/>
      <c r="H26" s="17"/>
    </row>
    <row r="27" spans="1:8">
      <c r="A27" s="15" t="s">
        <v>38</v>
      </c>
      <c r="B27" s="18">
        <f>B26-B26*C19</f>
        <v>8075</v>
      </c>
      <c r="C27" s="16" t="s">
        <v>36</v>
      </c>
      <c r="D27" s="6"/>
      <c r="H27" s="17"/>
    </row>
    <row r="28" spans="1:8">
      <c r="A28" s="19" t="s">
        <v>39</v>
      </c>
      <c r="B28" s="10">
        <f>(B26*B23%)+(B26*B24%*2)</f>
        <v>9500</v>
      </c>
      <c r="C28" s="20" t="s">
        <v>20</v>
      </c>
      <c r="D28" s="6"/>
      <c r="H28" s="17"/>
    </row>
    <row r="29" spans="1:8" ht="15.75" thickBot="1">
      <c r="A29" s="21" t="s">
        <v>40</v>
      </c>
      <c r="B29" s="22">
        <v>810</v>
      </c>
      <c r="C29" s="23" t="s">
        <v>8</v>
      </c>
      <c r="D29" s="6"/>
    </row>
    <row r="30" spans="1:8" ht="15.75" thickBot="1">
      <c r="A30" s="32" t="s">
        <v>41</v>
      </c>
      <c r="B30" s="24">
        <f>B28</f>
        <v>9500</v>
      </c>
      <c r="C30" s="25" t="s">
        <v>20</v>
      </c>
      <c r="D30" s="6"/>
    </row>
    <row r="31" spans="1:8" ht="15.75" thickBot="1">
      <c r="A31" s="31" t="s">
        <v>42</v>
      </c>
      <c r="B31" s="24">
        <f>B27</f>
        <v>8075</v>
      </c>
      <c r="C31" s="26" t="s">
        <v>36</v>
      </c>
      <c r="D31" s="6"/>
    </row>
    <row r="32" spans="1:8">
      <c r="D32" s="6"/>
    </row>
    <row r="33" spans="5:5">
      <c r="E33" s="17"/>
    </row>
  </sheetData>
  <mergeCells count="2">
    <mergeCell ref="A1:C1"/>
    <mergeCell ref="A21:C2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Deepanjan</dc:creator>
  <cp:keywords/>
  <dc:description/>
  <cp:lastModifiedBy>Madala Manoj Kumar</cp:lastModifiedBy>
  <cp:revision/>
  <dcterms:created xsi:type="dcterms:W3CDTF">2024-11-27T08:41:46Z</dcterms:created>
  <dcterms:modified xsi:type="dcterms:W3CDTF">2025-11-17T09:24:40Z</dcterms:modified>
  <cp:category/>
  <cp:contentStatus/>
</cp:coreProperties>
</file>