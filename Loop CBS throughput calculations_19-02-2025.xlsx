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1. Propsal_Automation\V6\"/>
    </mc:Choice>
  </mc:AlternateContent>
  <xr:revisionPtr revIDLastSave="0" documentId="13_ncr:1_{FFCF19D0-C3A1-4D0C-940B-AC371C5C973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Loop thruput cal for 2feed zone" sheetId="1" state="hidden" r:id="rId1"/>
    <sheet name="Loop thruput cal for 2feed_ST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B3" i="5"/>
  <c r="H11" i="5" l="1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10" i="5"/>
  <c r="H9" i="5"/>
  <c r="G82" i="5"/>
  <c r="G81" i="5"/>
  <c r="I81" i="5" s="1"/>
  <c r="G80" i="5"/>
  <c r="G79" i="5"/>
  <c r="G78" i="5"/>
  <c r="G77" i="5"/>
  <c r="G76" i="5"/>
  <c r="G75" i="5"/>
  <c r="G74" i="5"/>
  <c r="G73" i="5"/>
  <c r="G72" i="5"/>
  <c r="G71" i="5"/>
  <c r="I71" i="5" s="1"/>
  <c r="G70" i="5"/>
  <c r="I70" i="5" s="1"/>
  <c r="G69" i="5"/>
  <c r="G68" i="5"/>
  <c r="G67" i="5"/>
  <c r="G66" i="5"/>
  <c r="G65" i="5"/>
  <c r="G64" i="5"/>
  <c r="G63" i="5"/>
  <c r="G62" i="5"/>
  <c r="G61" i="5"/>
  <c r="G60" i="5"/>
  <c r="G59" i="5"/>
  <c r="G58" i="5"/>
  <c r="I58" i="5" s="1"/>
  <c r="G57" i="5"/>
  <c r="I57" i="5" s="1"/>
  <c r="G56" i="5"/>
  <c r="G55" i="5"/>
  <c r="G54" i="5"/>
  <c r="G53" i="5"/>
  <c r="G52" i="5"/>
  <c r="G51" i="5"/>
  <c r="G50" i="5"/>
  <c r="G49" i="5"/>
  <c r="G48" i="5"/>
  <c r="G47" i="5"/>
  <c r="I47" i="5" s="1"/>
  <c r="G46" i="5"/>
  <c r="I46" i="5" s="1"/>
  <c r="G45" i="5"/>
  <c r="I45" i="5" s="1"/>
  <c r="G44" i="5"/>
  <c r="G43" i="5"/>
  <c r="G42" i="5"/>
  <c r="G41" i="5"/>
  <c r="G40" i="5"/>
  <c r="G39" i="5"/>
  <c r="G38" i="5"/>
  <c r="G37" i="5"/>
  <c r="G36" i="5"/>
  <c r="G35" i="5"/>
  <c r="I35" i="5" s="1"/>
  <c r="G34" i="5"/>
  <c r="I34" i="5" s="1"/>
  <c r="G33" i="5"/>
  <c r="G32" i="5"/>
  <c r="G31" i="5"/>
  <c r="G30" i="5"/>
  <c r="G29" i="5"/>
  <c r="G28" i="5"/>
  <c r="G27" i="5"/>
  <c r="G26" i="5"/>
  <c r="G25" i="5"/>
  <c r="G24" i="5"/>
  <c r="G23" i="5"/>
  <c r="I23" i="5" s="1"/>
  <c r="G22" i="5"/>
  <c r="I22" i="5" s="1"/>
  <c r="G21" i="5"/>
  <c r="G20" i="5"/>
  <c r="G19" i="5"/>
  <c r="G18" i="5"/>
  <c r="G17" i="5"/>
  <c r="G16" i="5"/>
  <c r="G15" i="5"/>
  <c r="G14" i="5"/>
  <c r="G13" i="5"/>
  <c r="G12" i="5"/>
  <c r="B12" i="5"/>
  <c r="G11" i="5"/>
  <c r="I11" i="5" s="1"/>
  <c r="G10" i="5"/>
  <c r="I10" i="5" s="1"/>
  <c r="G9" i="5"/>
  <c r="I9" i="5" s="1"/>
  <c r="I8" i="5"/>
  <c r="M7" i="5"/>
  <c r="J7" i="5"/>
  <c r="L7" i="5" s="1"/>
  <c r="N7" i="5" s="1"/>
  <c r="I7" i="5"/>
  <c r="O5" i="5"/>
  <c r="B11" i="5"/>
  <c r="B14" i="5" s="1"/>
  <c r="I42" i="5" l="1"/>
  <c r="I32" i="5"/>
  <c r="I56" i="5"/>
  <c r="I30" i="5"/>
  <c r="I68" i="5"/>
  <c r="I18" i="5"/>
  <c r="I66" i="5"/>
  <c r="I78" i="5"/>
  <c r="I54" i="5"/>
  <c r="I20" i="5"/>
  <c r="I44" i="5"/>
  <c r="I80" i="5"/>
  <c r="I82" i="5"/>
  <c r="I55" i="5"/>
  <c r="I19" i="5"/>
  <c r="I67" i="5"/>
  <c r="I33" i="5"/>
  <c r="I75" i="5"/>
  <c r="I16" i="5"/>
  <c r="I28" i="5"/>
  <c r="I40" i="5"/>
  <c r="I52" i="5"/>
  <c r="I64" i="5"/>
  <c r="I76" i="5"/>
  <c r="I12" i="5"/>
  <c r="I24" i="5"/>
  <c r="I36" i="5"/>
  <c r="I48" i="5"/>
  <c r="I60" i="5"/>
  <c r="I72" i="5"/>
  <c r="I13" i="5"/>
  <c r="I25" i="5"/>
  <c r="I37" i="5"/>
  <c r="I49" i="5"/>
  <c r="I61" i="5"/>
  <c r="I73" i="5"/>
  <c r="I14" i="5"/>
  <c r="I26" i="5"/>
  <c r="I38" i="5"/>
  <c r="I50" i="5"/>
  <c r="I62" i="5"/>
  <c r="I74" i="5"/>
  <c r="I15" i="5"/>
  <c r="I27" i="5"/>
  <c r="I39" i="5"/>
  <c r="I51" i="5"/>
  <c r="I63" i="5"/>
  <c r="I17" i="5"/>
  <c r="I29" i="5"/>
  <c r="I41" i="5"/>
  <c r="I53" i="5"/>
  <c r="I65" i="5"/>
  <c r="I77" i="5"/>
  <c r="B13" i="5"/>
  <c r="O7" i="5"/>
  <c r="K8" i="5"/>
  <c r="M8" i="5" s="1"/>
  <c r="I79" i="5"/>
  <c r="I43" i="5"/>
  <c r="I69" i="5"/>
  <c r="I21" i="5"/>
  <c r="I59" i="5"/>
  <c r="F7" i="5"/>
  <c r="I31" i="5"/>
  <c r="F8" i="5" l="1"/>
  <c r="J8" i="5" s="1"/>
  <c r="L8" i="5" s="1"/>
  <c r="N8" i="5" s="1"/>
  <c r="D7" i="5" s="1"/>
  <c r="O8" i="5" l="1"/>
  <c r="F9" i="5" s="1"/>
  <c r="J9" i="5" s="1"/>
  <c r="K10" i="5" s="1"/>
  <c r="M10" i="5" s="1"/>
  <c r="K9" i="5"/>
  <c r="M9" i="5" s="1"/>
  <c r="L9" i="5" l="1"/>
  <c r="N9" i="5" s="1"/>
  <c r="O9" i="5" s="1"/>
  <c r="F10" i="5" s="1"/>
  <c r="J10" i="5" s="1"/>
  <c r="K11" i="5" l="1"/>
  <c r="M11" i="5" s="1"/>
  <c r="L10" i="5"/>
  <c r="N10" i="5" s="1"/>
  <c r="O10" i="5" s="1"/>
  <c r="F11" i="5" s="1"/>
  <c r="J11" i="5" s="1"/>
  <c r="K12" i="5" s="1"/>
  <c r="M12" i="5" s="1"/>
  <c r="D9" i="5" l="1"/>
  <c r="L11" i="5"/>
  <c r="N11" i="5" s="1"/>
  <c r="O11" i="5" s="1"/>
  <c r="F12" i="5" l="1"/>
  <c r="J12" i="5" s="1"/>
  <c r="L12" i="5" l="1"/>
  <c r="N12" i="5" s="1"/>
  <c r="K13" i="5"/>
  <c r="M13" i="5" s="1"/>
  <c r="O12" i="5" l="1"/>
  <c r="D11" i="5"/>
  <c r="F13" i="5" l="1"/>
  <c r="J13" i="5" s="1"/>
  <c r="L13" i="5" l="1"/>
  <c r="N13" i="5" s="1"/>
  <c r="O13" i="5" s="1"/>
  <c r="K14" i="5"/>
  <c r="M14" i="5" s="1"/>
  <c r="F14" i="5" l="1"/>
  <c r="J14" i="5" s="1"/>
  <c r="L14" i="5" l="1"/>
  <c r="N14" i="5" s="1"/>
  <c r="D13" i="5" s="1"/>
  <c r="K15" i="5"/>
  <c r="M15" i="5" s="1"/>
  <c r="O14" i="5" l="1"/>
  <c r="F15" i="5" l="1"/>
  <c r="J15" i="5" s="1"/>
  <c r="K16" i="5" l="1"/>
  <c r="M16" i="5" s="1"/>
  <c r="L15" i="5"/>
  <c r="N15" i="5" s="1"/>
  <c r="O15" i="5" l="1"/>
  <c r="G11" i="1"/>
  <c r="G12" i="1"/>
  <c r="I12" i="1" s="1"/>
  <c r="G13" i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10" i="1"/>
  <c r="I10" i="1" s="1"/>
  <c r="G9" i="1"/>
  <c r="I9" i="1" s="1"/>
  <c r="I13" i="1"/>
  <c r="I8" i="1"/>
  <c r="M7" i="1"/>
  <c r="J7" i="1"/>
  <c r="I7" i="1"/>
  <c r="O5" i="1"/>
  <c r="B4" i="1"/>
  <c r="F7" i="1" s="1"/>
  <c r="F16" i="5" l="1"/>
  <c r="J16" i="5" s="1"/>
  <c r="I11" i="1"/>
  <c r="K8" i="1"/>
  <c r="O7" i="1"/>
  <c r="L7" i="1"/>
  <c r="N7" i="1" s="1"/>
  <c r="K17" i="5" l="1"/>
  <c r="M17" i="5" s="1"/>
  <c r="L16" i="5"/>
  <c r="N16" i="5" s="1"/>
  <c r="D15" i="5" s="1"/>
  <c r="F8" i="1"/>
  <c r="J8" i="1" s="1"/>
  <c r="M8" i="1"/>
  <c r="O16" i="5" l="1"/>
  <c r="F17" i="5" s="1"/>
  <c r="J17" i="5" s="1"/>
  <c r="K9" i="1"/>
  <c r="L8" i="1"/>
  <c r="N8" i="1" s="1"/>
  <c r="D7" i="1" s="1"/>
  <c r="K18" i="5" l="1"/>
  <c r="M18" i="5" s="1"/>
  <c r="L17" i="5"/>
  <c r="N17" i="5" s="1"/>
  <c r="O17" i="5" s="1"/>
  <c r="O8" i="1"/>
  <c r="F9" i="1" s="1"/>
  <c r="J9" i="1" s="1"/>
  <c r="L9" i="1" s="1"/>
  <c r="M9" i="1"/>
  <c r="F18" i="5" l="1"/>
  <c r="J18" i="5" s="1"/>
  <c r="N9" i="1"/>
  <c r="O9" i="1" s="1"/>
  <c r="K10" i="1"/>
  <c r="M10" i="1" s="1"/>
  <c r="L18" i="5" l="1"/>
  <c r="N18" i="5" s="1"/>
  <c r="D17" i="5" s="1"/>
  <c r="K19" i="5"/>
  <c r="M19" i="5" s="1"/>
  <c r="F10" i="1"/>
  <c r="J10" i="1" s="1"/>
  <c r="O18" i="5" l="1"/>
  <c r="K11" i="1"/>
  <c r="M11" i="1" s="1"/>
  <c r="L10" i="1"/>
  <c r="N10" i="1" s="1"/>
  <c r="D9" i="1" s="1"/>
  <c r="F19" i="5" l="1"/>
  <c r="J19" i="5" s="1"/>
  <c r="O10" i="1"/>
  <c r="F11" i="1" s="1"/>
  <c r="J11" i="1" s="1"/>
  <c r="L19" i="5" l="1"/>
  <c r="N19" i="5" s="1"/>
  <c r="O19" i="5" s="1"/>
  <c r="K20" i="5"/>
  <c r="M20" i="5" s="1"/>
  <c r="K12" i="1"/>
  <c r="M12" i="1" s="1"/>
  <c r="L11" i="1"/>
  <c r="N11" i="1" s="1"/>
  <c r="O11" i="1" s="1"/>
  <c r="F20" i="5" l="1"/>
  <c r="J20" i="5" s="1"/>
  <c r="F12" i="1"/>
  <c r="J12" i="1" s="1"/>
  <c r="L12" i="1" s="1"/>
  <c r="N12" i="1" s="1"/>
  <c r="D11" i="1" s="1"/>
  <c r="L20" i="5" l="1"/>
  <c r="N20" i="5" s="1"/>
  <c r="D19" i="5" s="1"/>
  <c r="K21" i="5"/>
  <c r="M21" i="5" s="1"/>
  <c r="K13" i="1"/>
  <c r="M13" i="1" s="1"/>
  <c r="O12" i="1"/>
  <c r="A20" i="5" l="1"/>
  <c r="O20" i="5"/>
  <c r="F21" i="5" s="1"/>
  <c r="J21" i="5" s="1"/>
  <c r="F13" i="1"/>
  <c r="J13" i="1" s="1"/>
  <c r="L13" i="1" s="1"/>
  <c r="N13" i="1" s="1"/>
  <c r="L21" i="5" l="1"/>
  <c r="N21" i="5" s="1"/>
  <c r="K22" i="5"/>
  <c r="M22" i="5" s="1"/>
  <c r="K14" i="1"/>
  <c r="M14" i="1" s="1"/>
  <c r="O13" i="1"/>
  <c r="O21" i="5" l="1"/>
  <c r="F14" i="1"/>
  <c r="J14" i="1" s="1"/>
  <c r="L14" i="1" s="1"/>
  <c r="N14" i="1" s="1"/>
  <c r="D13" i="1" s="1"/>
  <c r="F22" i="5" l="1"/>
  <c r="J22" i="5" s="1"/>
  <c r="K15" i="1"/>
  <c r="M15" i="1" s="1"/>
  <c r="O14" i="1"/>
  <c r="K23" i="5" l="1"/>
  <c r="M23" i="5" s="1"/>
  <c r="L22" i="5"/>
  <c r="N22" i="5" s="1"/>
  <c r="D21" i="5" s="1"/>
  <c r="C22" i="5" s="1"/>
  <c r="F15" i="1"/>
  <c r="J15" i="1" s="1"/>
  <c r="C23" i="5" l="1"/>
  <c r="C24" i="5" s="1"/>
  <c r="C25" i="5" s="1"/>
  <c r="O22" i="5"/>
  <c r="F23" i="5"/>
  <c r="J23" i="5" s="1"/>
  <c r="K16" i="1"/>
  <c r="M16" i="1" s="1"/>
  <c r="L15" i="1"/>
  <c r="N15" i="1" s="1"/>
  <c r="O15" i="1" s="1"/>
  <c r="K24" i="5" l="1"/>
  <c r="M24" i="5" s="1"/>
  <c r="L23" i="5"/>
  <c r="N23" i="5" s="1"/>
  <c r="F16" i="1"/>
  <c r="J16" i="1" s="1"/>
  <c r="L16" i="1" s="1"/>
  <c r="N16" i="1" s="1"/>
  <c r="D15" i="1" s="1"/>
  <c r="O23" i="5" l="1"/>
  <c r="K17" i="1"/>
  <c r="M17" i="1" s="1"/>
  <c r="O16" i="1"/>
  <c r="F24" i="5" l="1"/>
  <c r="J24" i="5" s="1"/>
  <c r="F17" i="1"/>
  <c r="J17" i="1" s="1"/>
  <c r="L24" i="5" l="1"/>
  <c r="N24" i="5" s="1"/>
  <c r="K25" i="5"/>
  <c r="M25" i="5" s="1"/>
  <c r="L17" i="1"/>
  <c r="N17" i="1" s="1"/>
  <c r="O17" i="1" s="1"/>
  <c r="K18" i="1"/>
  <c r="M18" i="1" s="1"/>
  <c r="O24" i="5" l="1"/>
  <c r="D23" i="5"/>
  <c r="F18" i="1"/>
  <c r="J18" i="1" s="1"/>
  <c r="L18" i="1" s="1"/>
  <c r="N18" i="1" s="1"/>
  <c r="D17" i="1" s="1"/>
  <c r="F25" i="5" l="1"/>
  <c r="J25" i="5" s="1"/>
  <c r="K19" i="1"/>
  <c r="M19" i="1" s="1"/>
  <c r="O18" i="1"/>
  <c r="L25" i="5" l="1"/>
  <c r="N25" i="5" s="1"/>
  <c r="O25" i="5" s="1"/>
  <c r="K26" i="5"/>
  <c r="M26" i="5" s="1"/>
  <c r="F19" i="1"/>
  <c r="J19" i="1" s="1"/>
  <c r="F26" i="5" l="1"/>
  <c r="J26" i="5" s="1"/>
  <c r="L19" i="1"/>
  <c r="N19" i="1" s="1"/>
  <c r="O19" i="1" s="1"/>
  <c r="K20" i="1"/>
  <c r="M20" i="1" s="1"/>
  <c r="K27" i="5" l="1"/>
  <c r="M27" i="5" s="1"/>
  <c r="L26" i="5"/>
  <c r="N26" i="5" s="1"/>
  <c r="D25" i="5" s="1"/>
  <c r="F20" i="1"/>
  <c r="J20" i="1" s="1"/>
  <c r="O26" i="5" l="1"/>
  <c r="L20" i="1"/>
  <c r="N20" i="1" s="1"/>
  <c r="D19" i="1" s="1"/>
  <c r="C20" i="1" s="1"/>
  <c r="K21" i="1"/>
  <c r="M21" i="1" s="1"/>
  <c r="F27" i="5" l="1"/>
  <c r="J27" i="5" s="1"/>
  <c r="O20" i="1"/>
  <c r="F21" i="1" s="1"/>
  <c r="J21" i="1" s="1"/>
  <c r="K28" i="5" l="1"/>
  <c r="M28" i="5" s="1"/>
  <c r="L27" i="5"/>
  <c r="N27" i="5" s="1"/>
  <c r="K22" i="1"/>
  <c r="M22" i="1" s="1"/>
  <c r="L21" i="1"/>
  <c r="N21" i="1" s="1"/>
  <c r="O21" i="1" s="1"/>
  <c r="O27" i="5" l="1"/>
  <c r="F22" i="1"/>
  <c r="J22" i="1" s="1"/>
  <c r="F28" i="5" l="1"/>
  <c r="J28" i="5" s="1"/>
  <c r="L22" i="1"/>
  <c r="N22" i="1" s="1"/>
  <c r="D21" i="1" s="1"/>
  <c r="K23" i="1"/>
  <c r="M23" i="1" s="1"/>
  <c r="L28" i="5" l="1"/>
  <c r="N28" i="5" s="1"/>
  <c r="K29" i="5"/>
  <c r="M29" i="5" s="1"/>
  <c r="O22" i="1"/>
  <c r="F23" i="1" s="1"/>
  <c r="J23" i="1" s="1"/>
  <c r="O28" i="5" l="1"/>
  <c r="D27" i="5"/>
  <c r="L23" i="1"/>
  <c r="N23" i="1" s="1"/>
  <c r="O23" i="1" s="1"/>
  <c r="K24" i="1"/>
  <c r="M24" i="1" s="1"/>
  <c r="F29" i="5" l="1"/>
  <c r="J29" i="5" s="1"/>
  <c r="F24" i="1"/>
  <c r="J24" i="1" s="1"/>
  <c r="K30" i="5" l="1"/>
  <c r="M30" i="5" s="1"/>
  <c r="L29" i="5"/>
  <c r="N29" i="5" s="1"/>
  <c r="O29" i="5" s="1"/>
  <c r="L24" i="1"/>
  <c r="N24" i="1" s="1"/>
  <c r="D23" i="1" s="1"/>
  <c r="K25" i="1"/>
  <c r="M25" i="1" s="1"/>
  <c r="F30" i="5" l="1"/>
  <c r="J30" i="5" s="1"/>
  <c r="O24" i="1"/>
  <c r="K31" i="5" l="1"/>
  <c r="M31" i="5" s="1"/>
  <c r="L30" i="5"/>
  <c r="N30" i="5" s="1"/>
  <c r="D29" i="5" s="1"/>
  <c r="F25" i="1"/>
  <c r="J25" i="1" s="1"/>
  <c r="O30" i="5" l="1"/>
  <c r="F31" i="5" s="1"/>
  <c r="J31" i="5" s="1"/>
  <c r="K26" i="1"/>
  <c r="M26" i="1" s="1"/>
  <c r="L25" i="1"/>
  <c r="N25" i="1" s="1"/>
  <c r="O25" i="1" s="1"/>
  <c r="K32" i="5" l="1"/>
  <c r="M32" i="5" s="1"/>
  <c r="L31" i="5"/>
  <c r="N31" i="5" s="1"/>
  <c r="F26" i="1"/>
  <c r="J26" i="1" s="1"/>
  <c r="O31" i="5" l="1"/>
  <c r="L26" i="1"/>
  <c r="N26" i="1" s="1"/>
  <c r="D25" i="1" s="1"/>
  <c r="K27" i="1"/>
  <c r="M27" i="1" s="1"/>
  <c r="F32" i="5" l="1"/>
  <c r="J32" i="5" s="1"/>
  <c r="O26" i="1"/>
  <c r="L32" i="5" l="1"/>
  <c r="N32" i="5" s="1"/>
  <c r="K33" i="5"/>
  <c r="M33" i="5" s="1"/>
  <c r="F27" i="1"/>
  <c r="J27" i="1" s="1"/>
  <c r="O32" i="5" l="1"/>
  <c r="D31" i="5"/>
  <c r="K28" i="1"/>
  <c r="M28" i="1" s="1"/>
  <c r="L27" i="1"/>
  <c r="N27" i="1" s="1"/>
  <c r="O27" i="1" s="1"/>
  <c r="F33" i="5" l="1"/>
  <c r="J33" i="5" s="1"/>
  <c r="F28" i="1"/>
  <c r="J28" i="1" s="1"/>
  <c r="L33" i="5" l="1"/>
  <c r="N33" i="5" s="1"/>
  <c r="O33" i="5" s="1"/>
  <c r="K34" i="5"/>
  <c r="M34" i="5" s="1"/>
  <c r="L28" i="1"/>
  <c r="N28" i="1" s="1"/>
  <c r="D27" i="1" s="1"/>
  <c r="K29" i="1"/>
  <c r="M29" i="1" s="1"/>
  <c r="F34" i="5" l="1"/>
  <c r="J34" i="5" s="1"/>
  <c r="O28" i="1"/>
  <c r="L34" i="5" l="1"/>
  <c r="N34" i="5" s="1"/>
  <c r="D33" i="5" s="1"/>
  <c r="K35" i="5"/>
  <c r="M35" i="5" s="1"/>
  <c r="F29" i="1"/>
  <c r="J29" i="1" s="1"/>
  <c r="O34" i="5" l="1"/>
  <c r="L29" i="1"/>
  <c r="N29" i="1" s="1"/>
  <c r="O29" i="1" s="1"/>
  <c r="K30" i="1"/>
  <c r="M30" i="1" s="1"/>
  <c r="F35" i="5" l="1"/>
  <c r="J35" i="5" s="1"/>
  <c r="F30" i="1"/>
  <c r="J30" i="1" s="1"/>
  <c r="L35" i="5" l="1"/>
  <c r="N35" i="5" s="1"/>
  <c r="O35" i="5" s="1"/>
  <c r="K36" i="5"/>
  <c r="M36" i="5" s="1"/>
  <c r="K31" i="1"/>
  <c r="M31" i="1" s="1"/>
  <c r="L30" i="1"/>
  <c r="N30" i="1" s="1"/>
  <c r="D29" i="1" s="1"/>
  <c r="F36" i="5" l="1"/>
  <c r="J36" i="5" s="1"/>
  <c r="O30" i="1"/>
  <c r="K37" i="5" l="1"/>
  <c r="M37" i="5" s="1"/>
  <c r="L36" i="5"/>
  <c r="N36" i="5" s="1"/>
  <c r="D35" i="5" s="1"/>
  <c r="F31" i="1"/>
  <c r="J31" i="1" s="1"/>
  <c r="O36" i="5" l="1"/>
  <c r="F37" i="5" s="1"/>
  <c r="J37" i="5" s="1"/>
  <c r="K32" i="1"/>
  <c r="M32" i="1" s="1"/>
  <c r="L31" i="1"/>
  <c r="N31" i="1" s="1"/>
  <c r="O31" i="1" s="1"/>
  <c r="K38" i="5" l="1"/>
  <c r="M38" i="5" s="1"/>
  <c r="L37" i="5"/>
  <c r="N37" i="5" s="1"/>
  <c r="O37" i="5" s="1"/>
  <c r="F32" i="1"/>
  <c r="J32" i="1" s="1"/>
  <c r="F38" i="5" l="1"/>
  <c r="J38" i="5" s="1"/>
  <c r="L32" i="1"/>
  <c r="N32" i="1" s="1"/>
  <c r="D31" i="1" s="1"/>
  <c r="K33" i="1"/>
  <c r="M33" i="1" s="1"/>
  <c r="L38" i="5" l="1"/>
  <c r="N38" i="5" s="1"/>
  <c r="D37" i="5" s="1"/>
  <c r="K39" i="5"/>
  <c r="M39" i="5" s="1"/>
  <c r="O32" i="1"/>
  <c r="F33" i="1" s="1"/>
  <c r="J33" i="1" s="1"/>
  <c r="O38" i="5" l="1"/>
  <c r="L33" i="1"/>
  <c r="N33" i="1" s="1"/>
  <c r="K34" i="1"/>
  <c r="M34" i="1" s="1"/>
  <c r="F39" i="5" l="1"/>
  <c r="J39" i="5" s="1"/>
  <c r="O33" i="1"/>
  <c r="L39" i="5" l="1"/>
  <c r="N39" i="5" s="1"/>
  <c r="O39" i="5" s="1"/>
  <c r="K40" i="5"/>
  <c r="M40" i="5" s="1"/>
  <c r="F34" i="1"/>
  <c r="J34" i="1" s="1"/>
  <c r="F40" i="5" l="1"/>
  <c r="J40" i="5" s="1"/>
  <c r="K35" i="1"/>
  <c r="M35" i="1" s="1"/>
  <c r="L34" i="1"/>
  <c r="N34" i="1" s="1"/>
  <c r="D33" i="1" s="1"/>
  <c r="L40" i="5" l="1"/>
  <c r="N40" i="5" s="1"/>
  <c r="D39" i="5" s="1"/>
  <c r="K41" i="5"/>
  <c r="M41" i="5" s="1"/>
  <c r="O34" i="1"/>
  <c r="F35" i="1" s="1"/>
  <c r="J35" i="1" s="1"/>
  <c r="O40" i="5" l="1"/>
  <c r="F41" i="5" s="1"/>
  <c r="J41" i="5" s="1"/>
  <c r="L35" i="1"/>
  <c r="N35" i="1" s="1"/>
  <c r="O35" i="1" s="1"/>
  <c r="K36" i="1"/>
  <c r="M36" i="1" s="1"/>
  <c r="K42" i="5" l="1"/>
  <c r="M42" i="5" s="1"/>
  <c r="L41" i="5"/>
  <c r="N41" i="5" s="1"/>
  <c r="O41" i="5" s="1"/>
  <c r="F36" i="1"/>
  <c r="J36" i="1" s="1"/>
  <c r="F42" i="5" l="1"/>
  <c r="J42" i="5" s="1"/>
  <c r="L36" i="1"/>
  <c r="N36" i="1" s="1"/>
  <c r="D35" i="1" s="1"/>
  <c r="K37" i="1"/>
  <c r="M37" i="1" s="1"/>
  <c r="K43" i="5" l="1"/>
  <c r="M43" i="5" s="1"/>
  <c r="L42" i="5"/>
  <c r="N42" i="5" s="1"/>
  <c r="D41" i="5" s="1"/>
  <c r="O36" i="1"/>
  <c r="F37" i="1" s="1"/>
  <c r="J37" i="1" s="1"/>
  <c r="O42" i="5" l="1"/>
  <c r="F43" i="5" s="1"/>
  <c r="J43" i="5" s="1"/>
  <c r="L37" i="1"/>
  <c r="N37" i="1" s="1"/>
  <c r="O37" i="1" s="1"/>
  <c r="K38" i="1"/>
  <c r="M38" i="1" s="1"/>
  <c r="L43" i="5" l="1"/>
  <c r="N43" i="5" s="1"/>
  <c r="O43" i="5" s="1"/>
  <c r="K44" i="5"/>
  <c r="M44" i="5" s="1"/>
  <c r="F38" i="1"/>
  <c r="J38" i="1" s="1"/>
  <c r="F44" i="5" l="1"/>
  <c r="J44" i="5" s="1"/>
  <c r="L38" i="1"/>
  <c r="N38" i="1" s="1"/>
  <c r="D37" i="1" s="1"/>
  <c r="K39" i="1"/>
  <c r="M39" i="1" s="1"/>
  <c r="K45" i="5" l="1"/>
  <c r="M45" i="5" s="1"/>
  <c r="L44" i="5"/>
  <c r="N44" i="5" s="1"/>
  <c r="D43" i="5" s="1"/>
  <c r="O38" i="1"/>
  <c r="F39" i="1" s="1"/>
  <c r="J39" i="1" s="1"/>
  <c r="O44" i="5" l="1"/>
  <c r="F45" i="5" s="1"/>
  <c r="J45" i="5" s="1"/>
  <c r="K40" i="1"/>
  <c r="M40" i="1" s="1"/>
  <c r="L39" i="1"/>
  <c r="N39" i="1" s="1"/>
  <c r="O39" i="1" s="1"/>
  <c r="K46" i="5" l="1"/>
  <c r="M46" i="5" s="1"/>
  <c r="L45" i="5"/>
  <c r="N45" i="5" s="1"/>
  <c r="O45" i="5" s="1"/>
  <c r="F40" i="1"/>
  <c r="J40" i="1" s="1"/>
  <c r="F46" i="5" l="1"/>
  <c r="J46" i="5" s="1"/>
  <c r="L40" i="1"/>
  <c r="N40" i="1" s="1"/>
  <c r="D39" i="1" s="1"/>
  <c r="K41" i="1"/>
  <c r="M41" i="1" s="1"/>
  <c r="K47" i="5" l="1"/>
  <c r="M47" i="5" s="1"/>
  <c r="L46" i="5"/>
  <c r="N46" i="5" s="1"/>
  <c r="D45" i="5" s="1"/>
  <c r="O40" i="1"/>
  <c r="F41" i="1" s="1"/>
  <c r="J41" i="1" s="1"/>
  <c r="O46" i="5" l="1"/>
  <c r="F47" i="5" s="1"/>
  <c r="J47" i="5" s="1"/>
  <c r="L41" i="1"/>
  <c r="N41" i="1" s="1"/>
  <c r="O41" i="1" s="1"/>
  <c r="K42" i="1"/>
  <c r="M42" i="1" s="1"/>
  <c r="K48" i="5" l="1"/>
  <c r="M48" i="5" s="1"/>
  <c r="L47" i="5"/>
  <c r="N47" i="5" s="1"/>
  <c r="O47" i="5" s="1"/>
  <c r="F42" i="1"/>
  <c r="J42" i="1" s="1"/>
  <c r="F48" i="5" l="1"/>
  <c r="J48" i="5" s="1"/>
  <c r="K43" i="1"/>
  <c r="M43" i="1" s="1"/>
  <c r="L42" i="1"/>
  <c r="N42" i="1" s="1"/>
  <c r="D41" i="1" s="1"/>
  <c r="L48" i="5" l="1"/>
  <c r="N48" i="5" s="1"/>
  <c r="D47" i="5" s="1"/>
  <c r="K49" i="5"/>
  <c r="M49" i="5" s="1"/>
  <c r="O42" i="1"/>
  <c r="F43" i="1"/>
  <c r="J43" i="1" s="1"/>
  <c r="O48" i="5" l="1"/>
  <c r="L43" i="1"/>
  <c r="N43" i="1" s="1"/>
  <c r="O43" i="1" s="1"/>
  <c r="K44" i="1"/>
  <c r="M44" i="1" s="1"/>
  <c r="F49" i="5" l="1"/>
  <c r="J49" i="5" s="1"/>
  <c r="F44" i="1"/>
  <c r="J44" i="1" s="1"/>
  <c r="L49" i="5" l="1"/>
  <c r="N49" i="5" s="1"/>
  <c r="K50" i="5"/>
  <c r="M50" i="5" s="1"/>
  <c r="L44" i="1"/>
  <c r="N44" i="1" s="1"/>
  <c r="D43" i="1" s="1"/>
  <c r="K45" i="1"/>
  <c r="M45" i="1" s="1"/>
  <c r="O49" i="5" l="1"/>
  <c r="O44" i="1"/>
  <c r="F45" i="1" s="1"/>
  <c r="J45" i="1" s="1"/>
  <c r="F50" i="5" l="1"/>
  <c r="J50" i="5" s="1"/>
  <c r="K46" i="1"/>
  <c r="M46" i="1" s="1"/>
  <c r="L45" i="1"/>
  <c r="N45" i="1" s="1"/>
  <c r="O45" i="1" s="1"/>
  <c r="L50" i="5" l="1"/>
  <c r="N50" i="5" s="1"/>
  <c r="K51" i="5"/>
  <c r="M51" i="5" s="1"/>
  <c r="F46" i="1"/>
  <c r="J46" i="1" s="1"/>
  <c r="O50" i="5" l="1"/>
  <c r="D49" i="5"/>
  <c r="L46" i="1"/>
  <c r="N46" i="1" s="1"/>
  <c r="D45" i="1" s="1"/>
  <c r="K47" i="1"/>
  <c r="M47" i="1" s="1"/>
  <c r="F51" i="5" l="1"/>
  <c r="J51" i="5" s="1"/>
  <c r="O46" i="1"/>
  <c r="F47" i="1" s="1"/>
  <c r="J47" i="1" s="1"/>
  <c r="K52" i="5" l="1"/>
  <c r="M52" i="5" s="1"/>
  <c r="L51" i="5"/>
  <c r="N51" i="5" s="1"/>
  <c r="O51" i="5" s="1"/>
  <c r="L47" i="1"/>
  <c r="N47" i="1" s="1"/>
  <c r="O47" i="1" s="1"/>
  <c r="K48" i="1"/>
  <c r="M48" i="1" s="1"/>
  <c r="F52" i="5" l="1"/>
  <c r="J52" i="5" s="1"/>
  <c r="F48" i="1"/>
  <c r="J48" i="1" s="1"/>
  <c r="L52" i="5" l="1"/>
  <c r="N52" i="5" s="1"/>
  <c r="D51" i="5" s="1"/>
  <c r="K53" i="5"/>
  <c r="M53" i="5" s="1"/>
  <c r="L48" i="1"/>
  <c r="N48" i="1" s="1"/>
  <c r="D47" i="1" s="1"/>
  <c r="K49" i="1"/>
  <c r="M49" i="1" s="1"/>
  <c r="O52" i="5" l="1"/>
  <c r="O48" i="1"/>
  <c r="F49" i="1" s="1"/>
  <c r="J49" i="1" s="1"/>
  <c r="F53" i="5" l="1"/>
  <c r="J53" i="5" s="1"/>
  <c r="K50" i="1"/>
  <c r="M50" i="1" s="1"/>
  <c r="L49" i="1"/>
  <c r="N49" i="1" s="1"/>
  <c r="O49" i="1" s="1"/>
  <c r="L53" i="5" l="1"/>
  <c r="N53" i="5" s="1"/>
  <c r="K54" i="5"/>
  <c r="M54" i="5" s="1"/>
  <c r="F50" i="1"/>
  <c r="J50" i="1" s="1"/>
  <c r="O53" i="5" l="1"/>
  <c r="L50" i="1"/>
  <c r="N50" i="1" s="1"/>
  <c r="D49" i="1" s="1"/>
  <c r="K51" i="1"/>
  <c r="M51" i="1" s="1"/>
  <c r="O50" i="1"/>
  <c r="F54" i="5" l="1"/>
  <c r="J54" i="5" s="1"/>
  <c r="F51" i="1"/>
  <c r="J51" i="1" s="1"/>
  <c r="L54" i="5" l="1"/>
  <c r="N54" i="5" s="1"/>
  <c r="K55" i="5"/>
  <c r="M55" i="5" s="1"/>
  <c r="K52" i="1"/>
  <c r="M52" i="1" s="1"/>
  <c r="L51" i="1"/>
  <c r="N51" i="1" s="1"/>
  <c r="O51" i="1" s="1"/>
  <c r="O54" i="5" l="1"/>
  <c r="D53" i="5"/>
  <c r="F52" i="1"/>
  <c r="J52" i="1" s="1"/>
  <c r="F55" i="5" l="1"/>
  <c r="J55" i="5" s="1"/>
  <c r="L52" i="1"/>
  <c r="N52" i="1" s="1"/>
  <c r="D51" i="1" s="1"/>
  <c r="K53" i="1"/>
  <c r="M53" i="1" s="1"/>
  <c r="K56" i="5" l="1"/>
  <c r="M56" i="5" s="1"/>
  <c r="L55" i="5"/>
  <c r="N55" i="5" s="1"/>
  <c r="O55" i="5" s="1"/>
  <c r="O52" i="1"/>
  <c r="F53" i="1" s="1"/>
  <c r="J53" i="1" s="1"/>
  <c r="F56" i="5" l="1"/>
  <c r="J56" i="5" s="1"/>
  <c r="K54" i="1"/>
  <c r="M54" i="1" s="1"/>
  <c r="L53" i="1"/>
  <c r="N53" i="1" s="1"/>
  <c r="O53" i="1" s="1"/>
  <c r="K57" i="5" l="1"/>
  <c r="M57" i="5" s="1"/>
  <c r="L56" i="5"/>
  <c r="N56" i="5" s="1"/>
  <c r="F54" i="1"/>
  <c r="J54" i="1" s="1"/>
  <c r="O56" i="5" l="1"/>
  <c r="D55" i="5"/>
  <c r="K55" i="1"/>
  <c r="M55" i="1" s="1"/>
  <c r="L54" i="1"/>
  <c r="N54" i="1" s="1"/>
  <c r="D53" i="1" s="1"/>
  <c r="F57" i="5" l="1"/>
  <c r="J57" i="5" s="1"/>
  <c r="O54" i="1"/>
  <c r="F55" i="1" s="1"/>
  <c r="J55" i="1" s="1"/>
  <c r="L57" i="5" l="1"/>
  <c r="N57" i="5" s="1"/>
  <c r="K58" i="5"/>
  <c r="M58" i="5" s="1"/>
  <c r="K56" i="1"/>
  <c r="M56" i="1" s="1"/>
  <c r="L55" i="1"/>
  <c r="N55" i="1" s="1"/>
  <c r="O55" i="1" s="1"/>
  <c r="O57" i="5" l="1"/>
  <c r="F56" i="1"/>
  <c r="J56" i="1" s="1"/>
  <c r="F58" i="5" l="1"/>
  <c r="J58" i="5" s="1"/>
  <c r="L56" i="1"/>
  <c r="N56" i="1" s="1"/>
  <c r="D55" i="1" s="1"/>
  <c r="K57" i="1"/>
  <c r="M57" i="1" s="1"/>
  <c r="L58" i="5" l="1"/>
  <c r="N58" i="5" s="1"/>
  <c r="D57" i="5" s="1"/>
  <c r="K59" i="5"/>
  <c r="M59" i="5" s="1"/>
  <c r="O56" i="1"/>
  <c r="O58" i="5" l="1"/>
  <c r="F57" i="1"/>
  <c r="J57" i="1" s="1"/>
  <c r="F59" i="5" l="1"/>
  <c r="J59" i="5" s="1"/>
  <c r="K58" i="1"/>
  <c r="M58" i="1" s="1"/>
  <c r="L57" i="1"/>
  <c r="N57" i="1" s="1"/>
  <c r="O57" i="1" s="1"/>
  <c r="K60" i="5" l="1"/>
  <c r="M60" i="5" s="1"/>
  <c r="L59" i="5"/>
  <c r="N59" i="5" s="1"/>
  <c r="O59" i="5" s="1"/>
  <c r="F58" i="1"/>
  <c r="J58" i="1" s="1"/>
  <c r="F60" i="5" l="1"/>
  <c r="J60" i="5" s="1"/>
  <c r="K59" i="1"/>
  <c r="M59" i="1" s="1"/>
  <c r="L58" i="1"/>
  <c r="N58" i="1" s="1"/>
  <c r="D57" i="1" s="1"/>
  <c r="O58" i="1"/>
  <c r="L60" i="5" l="1"/>
  <c r="N60" i="5" s="1"/>
  <c r="K61" i="5"/>
  <c r="M61" i="5" s="1"/>
  <c r="F59" i="1"/>
  <c r="J59" i="1" s="1"/>
  <c r="O60" i="5" l="1"/>
  <c r="D59" i="5"/>
  <c r="K60" i="1"/>
  <c r="M60" i="1" s="1"/>
  <c r="L59" i="1"/>
  <c r="N59" i="1" s="1"/>
  <c r="O59" i="1" s="1"/>
  <c r="F61" i="5" l="1"/>
  <c r="J61" i="5" s="1"/>
  <c r="F60" i="1"/>
  <c r="J60" i="1" s="1"/>
  <c r="K62" i="5" l="1"/>
  <c r="M62" i="5" s="1"/>
  <c r="L61" i="5"/>
  <c r="N61" i="5" s="1"/>
  <c r="L60" i="1"/>
  <c r="N60" i="1" s="1"/>
  <c r="D59" i="1" s="1"/>
  <c r="K61" i="1"/>
  <c r="M61" i="1" s="1"/>
  <c r="O61" i="5" l="1"/>
  <c r="O60" i="1"/>
  <c r="F61" i="1"/>
  <c r="J61" i="1" s="1"/>
  <c r="F62" i="5" l="1"/>
  <c r="J62" i="5" s="1"/>
  <c r="L61" i="1"/>
  <c r="N61" i="1" s="1"/>
  <c r="O61" i="1" s="1"/>
  <c r="K62" i="1"/>
  <c r="M62" i="1" s="1"/>
  <c r="L62" i="5" l="1"/>
  <c r="N62" i="5" s="1"/>
  <c r="K63" i="5"/>
  <c r="M63" i="5" s="1"/>
  <c r="F62" i="1"/>
  <c r="J62" i="1" s="1"/>
  <c r="O62" i="5" l="1"/>
  <c r="D61" i="5"/>
  <c r="L62" i="1"/>
  <c r="N62" i="1" s="1"/>
  <c r="D61" i="1" s="1"/>
  <c r="K63" i="1"/>
  <c r="M63" i="1" s="1"/>
  <c r="F63" i="5" l="1"/>
  <c r="J63" i="5" s="1"/>
  <c r="O62" i="1"/>
  <c r="F63" i="1" s="1"/>
  <c r="J63" i="1" s="1"/>
  <c r="L63" i="5" l="1"/>
  <c r="N63" i="5" s="1"/>
  <c r="K64" i="5"/>
  <c r="M64" i="5" s="1"/>
  <c r="L63" i="1"/>
  <c r="N63" i="1" s="1"/>
  <c r="O63" i="1" s="1"/>
  <c r="K64" i="1"/>
  <c r="M64" i="1" s="1"/>
  <c r="O63" i="5" l="1"/>
  <c r="F64" i="1"/>
  <c r="J64" i="1" s="1"/>
  <c r="F64" i="5" l="1"/>
  <c r="J64" i="5" s="1"/>
  <c r="L64" i="1"/>
  <c r="N64" i="1" s="1"/>
  <c r="D63" i="1" s="1"/>
  <c r="K65" i="1"/>
  <c r="M65" i="1" s="1"/>
  <c r="L64" i="5" l="1"/>
  <c r="N64" i="5" s="1"/>
  <c r="K65" i="5"/>
  <c r="M65" i="5" s="1"/>
  <c r="O64" i="1"/>
  <c r="F65" i="1" s="1"/>
  <c r="J65" i="1" s="1"/>
  <c r="O64" i="5" l="1"/>
  <c r="D63" i="5"/>
  <c r="K66" i="1"/>
  <c r="M66" i="1" s="1"/>
  <c r="L65" i="1"/>
  <c r="N65" i="1" s="1"/>
  <c r="O65" i="1" s="1"/>
  <c r="F65" i="5" l="1"/>
  <c r="J65" i="5" s="1"/>
  <c r="F66" i="1"/>
  <c r="J66" i="1" s="1"/>
  <c r="K66" i="5" l="1"/>
  <c r="M66" i="5" s="1"/>
  <c r="L65" i="5"/>
  <c r="N65" i="5" s="1"/>
  <c r="O65" i="5" s="1"/>
  <c r="K67" i="1"/>
  <c r="M67" i="1" s="1"/>
  <c r="L66" i="1"/>
  <c r="N66" i="1" s="1"/>
  <c r="D65" i="1" s="1"/>
  <c r="F66" i="5" l="1"/>
  <c r="J66" i="5" s="1"/>
  <c r="O66" i="1"/>
  <c r="F67" i="1" s="1"/>
  <c r="J67" i="1" s="1"/>
  <c r="K67" i="5" l="1"/>
  <c r="M67" i="5" s="1"/>
  <c r="L66" i="5"/>
  <c r="N66" i="5" s="1"/>
  <c r="D65" i="5" s="1"/>
  <c r="K68" i="1"/>
  <c r="M68" i="1" s="1"/>
  <c r="L67" i="1"/>
  <c r="N67" i="1" s="1"/>
  <c r="O67" i="1"/>
  <c r="O66" i="5" l="1"/>
  <c r="F68" i="1"/>
  <c r="J68" i="1" s="1"/>
  <c r="F67" i="5" l="1"/>
  <c r="J67" i="5" s="1"/>
  <c r="L68" i="1"/>
  <c r="N68" i="1" s="1"/>
  <c r="D67" i="1" s="1"/>
  <c r="K69" i="1"/>
  <c r="M69" i="1" s="1"/>
  <c r="L67" i="5" l="1"/>
  <c r="N67" i="5" s="1"/>
  <c r="O67" i="5" s="1"/>
  <c r="K68" i="5"/>
  <c r="M68" i="5" s="1"/>
  <c r="O68" i="1"/>
  <c r="F69" i="1" s="1"/>
  <c r="J69" i="1" s="1"/>
  <c r="F68" i="5" l="1"/>
  <c r="J68" i="5" s="1"/>
  <c r="L69" i="1"/>
  <c r="N69" i="1" s="1"/>
  <c r="O69" i="1" s="1"/>
  <c r="K70" i="1"/>
  <c r="M70" i="1" s="1"/>
  <c r="L68" i="5" l="1"/>
  <c r="N68" i="5" s="1"/>
  <c r="D67" i="5" s="1"/>
  <c r="K69" i="5"/>
  <c r="M69" i="5" s="1"/>
  <c r="F70" i="1"/>
  <c r="J70" i="1" s="1"/>
  <c r="O68" i="5" l="1"/>
  <c r="L70" i="1"/>
  <c r="N70" i="1" s="1"/>
  <c r="D69" i="1" s="1"/>
  <c r="K71" i="1"/>
  <c r="M71" i="1" s="1"/>
  <c r="F69" i="5" l="1"/>
  <c r="J69" i="5" s="1"/>
  <c r="O70" i="1"/>
  <c r="F71" i="1" s="1"/>
  <c r="J71" i="1" s="1"/>
  <c r="K70" i="5" l="1"/>
  <c r="M70" i="5" s="1"/>
  <c r="L69" i="5"/>
  <c r="N69" i="5" s="1"/>
  <c r="O69" i="5" s="1"/>
  <c r="K72" i="1"/>
  <c r="M72" i="1" s="1"/>
  <c r="L71" i="1"/>
  <c r="N71" i="1" s="1"/>
  <c r="F70" i="5" l="1"/>
  <c r="J70" i="5" s="1"/>
  <c r="O71" i="1"/>
  <c r="K71" i="5" l="1"/>
  <c r="M71" i="5" s="1"/>
  <c r="L70" i="5"/>
  <c r="N70" i="5" s="1"/>
  <c r="D69" i="5" s="1"/>
  <c r="F72" i="1"/>
  <c r="J72" i="1" s="1"/>
  <c r="O70" i="5" l="1"/>
  <c r="F71" i="5" s="1"/>
  <c r="J71" i="5" s="1"/>
  <c r="L72" i="1"/>
  <c r="N72" i="1" s="1"/>
  <c r="D71" i="1" s="1"/>
  <c r="K73" i="1"/>
  <c r="M73" i="1" s="1"/>
  <c r="K72" i="5" l="1"/>
  <c r="M72" i="5" s="1"/>
  <c r="L71" i="5"/>
  <c r="N71" i="5" s="1"/>
  <c r="O71" i="5" s="1"/>
  <c r="O72" i="1"/>
  <c r="F73" i="1"/>
  <c r="J73" i="1" s="1"/>
  <c r="F72" i="5" l="1"/>
  <c r="J72" i="5" s="1"/>
  <c r="L73" i="1"/>
  <c r="N73" i="1" s="1"/>
  <c r="O73" i="1" s="1"/>
  <c r="K74" i="1"/>
  <c r="M74" i="1" s="1"/>
  <c r="L72" i="5" l="1"/>
  <c r="N72" i="5" s="1"/>
  <c r="D71" i="5" s="1"/>
  <c r="K73" i="5"/>
  <c r="M73" i="5" s="1"/>
  <c r="F74" i="1"/>
  <c r="J74" i="1" s="1"/>
  <c r="O72" i="5" l="1"/>
  <c r="K75" i="1"/>
  <c r="M75" i="1" s="1"/>
  <c r="L74" i="1"/>
  <c r="N74" i="1" s="1"/>
  <c r="D73" i="1" s="1"/>
  <c r="O74" i="1"/>
  <c r="F73" i="5" l="1"/>
  <c r="J73" i="5" s="1"/>
  <c r="F75" i="1"/>
  <c r="J75" i="1" s="1"/>
  <c r="L73" i="5" l="1"/>
  <c r="N73" i="5" s="1"/>
  <c r="O73" i="5" s="1"/>
  <c r="K74" i="5"/>
  <c r="M74" i="5" s="1"/>
  <c r="L75" i="1"/>
  <c r="N75" i="1" s="1"/>
  <c r="O75" i="1" s="1"/>
  <c r="K76" i="1"/>
  <c r="M76" i="1" s="1"/>
  <c r="F74" i="5" l="1"/>
  <c r="J74" i="5" s="1"/>
  <c r="F76" i="1"/>
  <c r="J76" i="1" s="1"/>
  <c r="L74" i="5" l="1"/>
  <c r="N74" i="5" s="1"/>
  <c r="D73" i="5" s="1"/>
  <c r="K75" i="5"/>
  <c r="M75" i="5" s="1"/>
  <c r="K77" i="1"/>
  <c r="M77" i="1" s="1"/>
  <c r="L76" i="1"/>
  <c r="N76" i="1" s="1"/>
  <c r="D75" i="1" s="1"/>
  <c r="O74" i="5" l="1"/>
  <c r="F75" i="5" s="1"/>
  <c r="J75" i="5" s="1"/>
  <c r="O76" i="1"/>
  <c r="K76" i="5" l="1"/>
  <c r="M76" i="5" s="1"/>
  <c r="L75" i="5"/>
  <c r="N75" i="5" s="1"/>
  <c r="O75" i="5" s="1"/>
  <c r="F77" i="1"/>
  <c r="J77" i="1" s="1"/>
  <c r="F76" i="5" l="1"/>
  <c r="J76" i="5" s="1"/>
  <c r="K78" i="1"/>
  <c r="M78" i="1" s="1"/>
  <c r="L77" i="1"/>
  <c r="N77" i="1" s="1"/>
  <c r="O77" i="1" s="1"/>
  <c r="L76" i="5" l="1"/>
  <c r="N76" i="5" s="1"/>
  <c r="D75" i="5" s="1"/>
  <c r="K77" i="5"/>
  <c r="M77" i="5" s="1"/>
  <c r="F78" i="1"/>
  <c r="J78" i="1" s="1"/>
  <c r="O76" i="5" l="1"/>
  <c r="L78" i="1"/>
  <c r="N78" i="1" s="1"/>
  <c r="D77" i="1" s="1"/>
  <c r="K79" i="1"/>
  <c r="M79" i="1" s="1"/>
  <c r="F77" i="5" l="1"/>
  <c r="J77" i="5" s="1"/>
  <c r="O78" i="1"/>
  <c r="F79" i="1" s="1"/>
  <c r="J79" i="1" s="1"/>
  <c r="L77" i="5" l="1"/>
  <c r="N77" i="5" s="1"/>
  <c r="O77" i="5" s="1"/>
  <c r="K78" i="5"/>
  <c r="M78" i="5" s="1"/>
  <c r="K80" i="1"/>
  <c r="M80" i="1" s="1"/>
  <c r="L79" i="1"/>
  <c r="N79" i="1" s="1"/>
  <c r="O79" i="1" s="1"/>
  <c r="F78" i="5" l="1"/>
  <c r="J78" i="5" s="1"/>
  <c r="F80" i="1"/>
  <c r="J80" i="1" s="1"/>
  <c r="K79" i="5" l="1"/>
  <c r="M79" i="5" s="1"/>
  <c r="L78" i="5"/>
  <c r="N78" i="5" s="1"/>
  <c r="D77" i="5" s="1"/>
  <c r="K81" i="1"/>
  <c r="M81" i="1" s="1"/>
  <c r="L80" i="1"/>
  <c r="N80" i="1" s="1"/>
  <c r="D79" i="1" s="1"/>
  <c r="O78" i="5" l="1"/>
  <c r="F79" i="5" s="1"/>
  <c r="J79" i="5" s="1"/>
  <c r="O80" i="1"/>
  <c r="F81" i="1" s="1"/>
  <c r="J81" i="1" s="1"/>
  <c r="K80" i="5" l="1"/>
  <c r="M80" i="5" s="1"/>
  <c r="L79" i="5"/>
  <c r="N79" i="5" s="1"/>
  <c r="O79" i="5" s="1"/>
  <c r="L81" i="1"/>
  <c r="N81" i="1" s="1"/>
  <c r="O81" i="1" s="1"/>
  <c r="K82" i="1"/>
  <c r="M82" i="1" s="1"/>
  <c r="F80" i="5" l="1"/>
  <c r="J80" i="5" s="1"/>
  <c r="F82" i="1"/>
  <c r="J82" i="1" s="1"/>
  <c r="K81" i="5" l="1"/>
  <c r="M81" i="5" s="1"/>
  <c r="L80" i="5"/>
  <c r="N80" i="5" s="1"/>
  <c r="D79" i="5" s="1"/>
  <c r="L82" i="1"/>
  <c r="N82" i="1" s="1"/>
  <c r="D81" i="1" s="1"/>
  <c r="O80" i="5" l="1"/>
  <c r="F81" i="5"/>
  <c r="J81" i="5" s="1"/>
  <c r="O82" i="1"/>
  <c r="L81" i="5" l="1"/>
  <c r="N81" i="5" s="1"/>
  <c r="K82" i="5"/>
  <c r="M82" i="5" s="1"/>
  <c r="O81" i="5" l="1"/>
  <c r="F82" i="5" l="1"/>
  <c r="J82" i="5" s="1"/>
  <c r="L82" i="5" s="1"/>
  <c r="N82" i="5" s="1"/>
  <c r="O82" i="5" l="1"/>
  <c r="D81" i="5"/>
</calcChain>
</file>

<file path=xl/sharedStrings.xml><?xml version="1.0" encoding="utf-8"?>
<sst xmlns="http://schemas.openxmlformats.org/spreadsheetml/2006/main" count="201" uniqueCount="32">
  <si>
    <t>Sorter Speed</t>
  </si>
  <si>
    <t xml:space="preserve">Mtr/Sec </t>
  </si>
  <si>
    <t>Carrier Pitch</t>
  </si>
  <si>
    <t xml:space="preserve">Mtr </t>
  </si>
  <si>
    <t>Sorter throughput</t>
  </si>
  <si>
    <t>PPH</t>
  </si>
  <si>
    <t>Throughput</t>
  </si>
  <si>
    <t>Carriers Available to Feed</t>
  </si>
  <si>
    <t>No of Feed Lines</t>
  </si>
  <si>
    <t>Throughput Per Feed Line</t>
  </si>
  <si>
    <t>Feeding Capacity from Zone</t>
  </si>
  <si>
    <t>Feed</t>
  </si>
  <si>
    <t>Prefeed</t>
  </si>
  <si>
    <t>Sort</t>
  </si>
  <si>
    <t>Prefeed sort</t>
  </si>
  <si>
    <t>Total Sort</t>
  </si>
  <si>
    <t>Empty Carriers Available to Feed</t>
  </si>
  <si>
    <t>Zone A</t>
  </si>
  <si>
    <t>Zone B</t>
  </si>
  <si>
    <t>AutoFeedling</t>
  </si>
  <si>
    <t>Manula Feedling</t>
  </si>
  <si>
    <t xml:space="preserve">Sorter TPH </t>
  </si>
  <si>
    <t xml:space="preserve">Feedline Capacity </t>
  </si>
  <si>
    <t>Per feedline %</t>
  </si>
  <si>
    <t>Feedlines required</t>
  </si>
  <si>
    <t>Design BPH</t>
  </si>
  <si>
    <t>TPH considering Dual belt parcel %</t>
  </si>
  <si>
    <t>Factor</t>
  </si>
  <si>
    <t>Operational BPH with Deration %</t>
  </si>
  <si>
    <t xml:space="preserve">Per Zone TPH </t>
  </si>
  <si>
    <t>Sorter Type</t>
  </si>
  <si>
    <t>Loop 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</si>
</sst>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1" fontId="0" fillId="2" borderId="1" xfId="0" applyNumberFormat="1" applyFill="1" applyBorder="1"/>
    <xf numFmtId="1" fontId="0" fillId="5" borderId="1" xfId="0" applyNumberFormat="1" applyFill="1" applyBorder="1"/>
    <xf numFmtId="1" fontId="0" fillId="0" borderId="1" xfId="0" applyNumberFormat="1" applyBorder="1"/>
    <xf numFmtId="9" fontId="0" fillId="0" borderId="0" xfId="1" applyFont="1"/>
    <xf numFmtId="0" fontId="0" fillId="6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" fontId="0" fillId="3" borderId="0" xfId="0" applyNumberFormat="1" applyFill="1"/>
    <xf numFmtId="0" fontId="0" fillId="3" borderId="0" xfId="0" applyFill="1"/>
    <xf numFmtId="0" fontId="1" fillId="2" borderId="0" xfId="0" applyFont="1" applyFill="1"/>
    <xf numFmtId="0" fontId="1" fillId="2" borderId="1" xfId="0" applyFont="1" applyFill="1" applyBorder="1"/>
    <xf numFmtId="9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/>
    <xf numFmtId="1" fontId="0" fillId="2" borderId="1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2"/>
  <sheetViews>
    <sheetView workbookViewId="0">
      <selection activeCell="J8" sqref="J8"/>
    </sheetView>
  </sheetViews>
  <sheetFormatPr defaultRowHeight="14.4" x14ac:dyDescent="0.3"/>
  <cols>
    <col min="1" max="1" width="17" bestFit="1" customWidth="1"/>
    <col min="3" max="3" width="14.33203125" bestFit="1" customWidth="1"/>
    <col min="4" max="4" width="11.109375" bestFit="1" customWidth="1"/>
    <col min="5" max="5" width="7.109375" bestFit="1" customWidth="1"/>
    <col min="6" max="6" width="24.33203125" bestFit="1" customWidth="1"/>
    <col min="7" max="7" width="16" bestFit="1" customWidth="1"/>
    <col min="8" max="8" width="24.109375" customWidth="1"/>
    <col min="9" max="9" width="26.33203125" bestFit="1" customWidth="1"/>
    <col min="10" max="12" width="9.33203125" bestFit="1" customWidth="1"/>
    <col min="13" max="13" width="13.44140625" bestFit="1" customWidth="1"/>
    <col min="14" max="14" width="9.5546875" bestFit="1" customWidth="1"/>
    <col min="15" max="15" width="30.5546875" bestFit="1" customWidth="1"/>
  </cols>
  <sheetData>
    <row r="2" spans="1:15" x14ac:dyDescent="0.3">
      <c r="A2" t="s">
        <v>0</v>
      </c>
      <c r="B2" s="1">
        <v>1.5</v>
      </c>
      <c r="C2" t="s">
        <v>1</v>
      </c>
    </row>
    <row r="3" spans="1:15" x14ac:dyDescent="0.3">
      <c r="A3" t="s">
        <v>2</v>
      </c>
      <c r="B3" s="1">
        <v>0.6</v>
      </c>
      <c r="C3" t="s">
        <v>3</v>
      </c>
    </row>
    <row r="4" spans="1:15" x14ac:dyDescent="0.3">
      <c r="A4" t="s">
        <v>4</v>
      </c>
      <c r="B4">
        <f>(B2*3600)/B3</f>
        <v>9000</v>
      </c>
      <c r="C4" t="s">
        <v>5</v>
      </c>
      <c r="L4" s="2">
        <v>1</v>
      </c>
      <c r="M4" s="2"/>
      <c r="N4" s="2"/>
      <c r="O4" s="3"/>
    </row>
    <row r="5" spans="1:15" x14ac:dyDescent="0.3">
      <c r="L5" s="2">
        <v>0.5</v>
      </c>
      <c r="M5" s="2"/>
      <c r="N5" s="2"/>
      <c r="O5" s="2">
        <f>L4-L5</f>
        <v>0.5</v>
      </c>
    </row>
    <row r="6" spans="1:15" x14ac:dyDescent="0.3">
      <c r="D6" s="4" t="s">
        <v>6</v>
      </c>
      <c r="E6" s="4"/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15" x14ac:dyDescent="0.3">
      <c r="C7" t="s">
        <v>19</v>
      </c>
      <c r="D7" s="19">
        <f>N7+N8</f>
        <v>9000</v>
      </c>
      <c r="E7" s="5" t="s">
        <v>17</v>
      </c>
      <c r="F7" s="5">
        <f>B4</f>
        <v>9000</v>
      </c>
      <c r="G7" s="5">
        <v>2</v>
      </c>
      <c r="H7" s="5">
        <v>3000</v>
      </c>
      <c r="I7" s="6">
        <f>H7*G7</f>
        <v>6000</v>
      </c>
      <c r="J7" s="5">
        <f>H7*G7</f>
        <v>6000</v>
      </c>
      <c r="K7" s="5">
        <v>0</v>
      </c>
      <c r="L7" s="5">
        <f>(J7*$L$5)</f>
        <v>3000</v>
      </c>
      <c r="M7" s="5">
        <f>K7</f>
        <v>0</v>
      </c>
      <c r="N7" s="5">
        <f>L7+M7</f>
        <v>3000</v>
      </c>
      <c r="O7" s="7">
        <f>$B$4-($O$5*J7)-K7</f>
        <v>6000</v>
      </c>
    </row>
    <row r="8" spans="1:15" x14ac:dyDescent="0.3">
      <c r="C8" t="s">
        <v>20</v>
      </c>
      <c r="D8" s="19"/>
      <c r="E8" s="5" t="s">
        <v>18</v>
      </c>
      <c r="F8" s="7">
        <f>O7</f>
        <v>6000</v>
      </c>
      <c r="G8" s="5">
        <v>2</v>
      </c>
      <c r="H8" s="5">
        <v>3000</v>
      </c>
      <c r="I8" s="6">
        <f>H8*G8</f>
        <v>6000</v>
      </c>
      <c r="J8" s="5">
        <f>IF(F8&lt;I8,F8,I8)</f>
        <v>6000</v>
      </c>
      <c r="K8" s="5">
        <f>J7*$O$5</f>
        <v>3000</v>
      </c>
      <c r="L8" s="5">
        <f>J8*$O$5</f>
        <v>3000</v>
      </c>
      <c r="M8" s="5">
        <f>K8</f>
        <v>3000</v>
      </c>
      <c r="N8" s="5">
        <f>L8+M8</f>
        <v>6000</v>
      </c>
      <c r="O8" s="7">
        <f>$B$4-(J8+K8)+N8</f>
        <v>6000</v>
      </c>
    </row>
    <row r="9" spans="1:15" x14ac:dyDescent="0.3">
      <c r="D9" s="19">
        <f t="shared" ref="D9" si="0">N9+N10</f>
        <v>9000</v>
      </c>
      <c r="E9" s="8" t="s">
        <v>17</v>
      </c>
      <c r="F9" s="8">
        <f>IF(G9=4,O8, IF(G9=3,O8*75%, IF(G9=2,O8*50%, IF(G9=1,O8*25%))))</f>
        <v>3000</v>
      </c>
      <c r="G9" s="5">
        <f>$G$7</f>
        <v>2</v>
      </c>
      <c r="H9" s="8">
        <v>3000</v>
      </c>
      <c r="I9" s="8">
        <f>H9*G9</f>
        <v>6000</v>
      </c>
      <c r="J9" s="8">
        <f>IF(F9&lt;I9,F9,I9)</f>
        <v>3000</v>
      </c>
      <c r="K9" s="8">
        <f>J8*$L$5</f>
        <v>3000</v>
      </c>
      <c r="L9" s="8">
        <f t="shared" ref="L9" si="1">(J9*$L$5)</f>
        <v>1500</v>
      </c>
      <c r="M9" s="8">
        <f>K9</f>
        <v>3000</v>
      </c>
      <c r="N9" s="8">
        <f t="shared" ref="N9:N72" si="2">L9+M9</f>
        <v>4500</v>
      </c>
      <c r="O9" s="7">
        <f t="shared" ref="O9:O72" si="3">$B$4-(J9+K9)+N9</f>
        <v>7500</v>
      </c>
    </row>
    <row r="10" spans="1:15" x14ac:dyDescent="0.3">
      <c r="D10" s="19"/>
      <c r="E10" s="8" t="s">
        <v>18</v>
      </c>
      <c r="F10" s="8">
        <f>O9</f>
        <v>7500</v>
      </c>
      <c r="G10" s="5">
        <f>$G$8</f>
        <v>2</v>
      </c>
      <c r="H10" s="8">
        <v>3000</v>
      </c>
      <c r="I10" s="8">
        <f>H10*G10</f>
        <v>6000</v>
      </c>
      <c r="J10" s="8">
        <f>IF(F10&lt;I10,F10,I10)</f>
        <v>6000</v>
      </c>
      <c r="K10" s="8">
        <f>J9*$O$5</f>
        <v>1500</v>
      </c>
      <c r="L10" s="8">
        <f>(J10*$O$5)</f>
        <v>3000</v>
      </c>
      <c r="M10" s="8">
        <f>K10</f>
        <v>1500</v>
      </c>
      <c r="N10" s="8">
        <f t="shared" si="2"/>
        <v>4500</v>
      </c>
      <c r="O10" s="7">
        <f t="shared" si="3"/>
        <v>6000</v>
      </c>
    </row>
    <row r="11" spans="1:15" ht="14.25" customHeight="1" x14ac:dyDescent="0.3">
      <c r="D11" s="19">
        <f t="shared" ref="D11" si="4">N11+N12</f>
        <v>9000</v>
      </c>
      <c r="E11" s="9" t="s">
        <v>17</v>
      </c>
      <c r="F11" s="8">
        <f t="shared" ref="F11" si="5">IF(G11=4,O10, IF(G11=3,O10*75%, IF(G11=2,O10*50%, IF(G11=1,O10*25%))))</f>
        <v>3000</v>
      </c>
      <c r="G11" s="5">
        <f t="shared" ref="G11" si="6">$G$7</f>
        <v>2</v>
      </c>
      <c r="H11" s="9">
        <v>3000</v>
      </c>
      <c r="I11" s="9">
        <f t="shared" ref="I11:I74" si="7">H11*G11</f>
        <v>6000</v>
      </c>
      <c r="J11" s="8">
        <f t="shared" ref="J11:J74" si="8">IF(F11&lt;I11,F11,I11)</f>
        <v>3000</v>
      </c>
      <c r="K11" s="8">
        <f t="shared" ref="K11" si="9">J10*$L$5</f>
        <v>3000</v>
      </c>
      <c r="L11" s="8">
        <f t="shared" ref="L11" si="10">(J11*$L$5)</f>
        <v>1500</v>
      </c>
      <c r="M11" s="9">
        <f t="shared" ref="M11:M74" si="11">K11</f>
        <v>3000</v>
      </c>
      <c r="N11" s="9">
        <f t="shared" si="2"/>
        <v>4500</v>
      </c>
      <c r="O11" s="7">
        <f t="shared" si="3"/>
        <v>7500</v>
      </c>
    </row>
    <row r="12" spans="1:15" x14ac:dyDescent="0.3">
      <c r="D12" s="19"/>
      <c r="E12" s="9" t="s">
        <v>18</v>
      </c>
      <c r="F12" s="8">
        <f t="shared" ref="F12" si="12">O11</f>
        <v>7500</v>
      </c>
      <c r="G12" s="5">
        <f t="shared" ref="G12" si="13">$G$8</f>
        <v>2</v>
      </c>
      <c r="H12" s="9">
        <v>3000</v>
      </c>
      <c r="I12" s="9">
        <f t="shared" si="7"/>
        <v>6000</v>
      </c>
      <c r="J12" s="8">
        <f t="shared" si="8"/>
        <v>6000</v>
      </c>
      <c r="K12" s="8">
        <f t="shared" ref="K12" si="14">J11*$O$5</f>
        <v>1500</v>
      </c>
      <c r="L12" s="8">
        <f t="shared" ref="L12" si="15">(J12*$O$5)</f>
        <v>3000</v>
      </c>
      <c r="M12" s="9">
        <f t="shared" si="11"/>
        <v>1500</v>
      </c>
      <c r="N12" s="9">
        <f t="shared" si="2"/>
        <v>4500</v>
      </c>
      <c r="O12" s="7">
        <f t="shared" si="3"/>
        <v>6000</v>
      </c>
    </row>
    <row r="13" spans="1:15" x14ac:dyDescent="0.3">
      <c r="D13" s="19">
        <f t="shared" ref="D13" si="16">N13+N14</f>
        <v>9000</v>
      </c>
      <c r="E13" s="9" t="s">
        <v>17</v>
      </c>
      <c r="F13" s="8">
        <f t="shared" ref="F13" si="17">IF(G13=4,O12, IF(G13=3,O12*75%, IF(G13=2,O12*50%, IF(G13=1,O12*25%))))</f>
        <v>3000</v>
      </c>
      <c r="G13" s="5">
        <f t="shared" ref="G13" si="18">$G$7</f>
        <v>2</v>
      </c>
      <c r="H13" s="9">
        <v>3000</v>
      </c>
      <c r="I13" s="9">
        <f t="shared" si="7"/>
        <v>6000</v>
      </c>
      <c r="J13" s="8">
        <f t="shared" si="8"/>
        <v>3000</v>
      </c>
      <c r="K13" s="8">
        <f t="shared" ref="K13" si="19">J12*$L$5</f>
        <v>3000</v>
      </c>
      <c r="L13" s="8">
        <f t="shared" ref="L13" si="20">(J13*$L$5)</f>
        <v>1500</v>
      </c>
      <c r="M13" s="9">
        <f t="shared" si="11"/>
        <v>3000</v>
      </c>
      <c r="N13" s="9">
        <f t="shared" si="2"/>
        <v>4500</v>
      </c>
      <c r="O13" s="7">
        <f t="shared" si="3"/>
        <v>7500</v>
      </c>
    </row>
    <row r="14" spans="1:15" x14ac:dyDescent="0.3">
      <c r="D14" s="19"/>
      <c r="E14" s="9" t="s">
        <v>18</v>
      </c>
      <c r="F14" s="8">
        <f t="shared" ref="F14" si="21">O13</f>
        <v>7500</v>
      </c>
      <c r="G14" s="5">
        <f t="shared" ref="G14" si="22">$G$8</f>
        <v>2</v>
      </c>
      <c r="H14" s="9">
        <v>3000</v>
      </c>
      <c r="I14" s="9">
        <f t="shared" si="7"/>
        <v>6000</v>
      </c>
      <c r="J14" s="8">
        <f t="shared" si="8"/>
        <v>6000</v>
      </c>
      <c r="K14" s="8">
        <f t="shared" ref="K14" si="23">J13*$O$5</f>
        <v>1500</v>
      </c>
      <c r="L14" s="8">
        <f t="shared" ref="L14" si="24">(J14*$O$5)</f>
        <v>3000</v>
      </c>
      <c r="M14" s="9">
        <f t="shared" si="11"/>
        <v>1500</v>
      </c>
      <c r="N14" s="9">
        <f t="shared" si="2"/>
        <v>4500</v>
      </c>
      <c r="O14" s="7">
        <f t="shared" si="3"/>
        <v>6000</v>
      </c>
    </row>
    <row r="15" spans="1:15" x14ac:dyDescent="0.3">
      <c r="D15" s="19">
        <f t="shared" ref="D15" si="25">N15+N16</f>
        <v>9000</v>
      </c>
      <c r="E15" s="9" t="s">
        <v>17</v>
      </c>
      <c r="F15" s="8">
        <f t="shared" ref="F15" si="26">IF(G15=4,O14, IF(G15=3,O14*75%, IF(G15=2,O14*50%, IF(G15=1,O14*25%))))</f>
        <v>3000</v>
      </c>
      <c r="G15" s="5">
        <f t="shared" ref="G15" si="27">$G$7</f>
        <v>2</v>
      </c>
      <c r="H15" s="9">
        <v>3000</v>
      </c>
      <c r="I15" s="9">
        <f t="shared" si="7"/>
        <v>6000</v>
      </c>
      <c r="J15" s="8">
        <f t="shared" si="8"/>
        <v>3000</v>
      </c>
      <c r="K15" s="8">
        <f t="shared" ref="K15" si="28">J14*$L$5</f>
        <v>3000</v>
      </c>
      <c r="L15" s="8">
        <f t="shared" ref="L15" si="29">(J15*$L$5)</f>
        <v>1500</v>
      </c>
      <c r="M15" s="9">
        <f t="shared" si="11"/>
        <v>3000</v>
      </c>
      <c r="N15" s="9">
        <f t="shared" si="2"/>
        <v>4500</v>
      </c>
      <c r="O15" s="7">
        <f t="shared" si="3"/>
        <v>7500</v>
      </c>
    </row>
    <row r="16" spans="1:15" x14ac:dyDescent="0.3">
      <c r="D16" s="19"/>
      <c r="E16" s="9" t="s">
        <v>18</v>
      </c>
      <c r="F16" s="8">
        <f t="shared" ref="F16" si="30">O15</f>
        <v>7500</v>
      </c>
      <c r="G16" s="5">
        <f t="shared" ref="G16" si="31">$G$8</f>
        <v>2</v>
      </c>
      <c r="H16" s="9">
        <v>3000</v>
      </c>
      <c r="I16" s="9">
        <f t="shared" si="7"/>
        <v>6000</v>
      </c>
      <c r="J16" s="8">
        <f t="shared" si="8"/>
        <v>6000</v>
      </c>
      <c r="K16" s="8">
        <f t="shared" ref="K16" si="32">J15*$O$5</f>
        <v>1500</v>
      </c>
      <c r="L16" s="8">
        <f t="shared" ref="L16" si="33">(J16*$O$5)</f>
        <v>3000</v>
      </c>
      <c r="M16" s="9">
        <f t="shared" si="11"/>
        <v>1500</v>
      </c>
      <c r="N16" s="9">
        <f t="shared" si="2"/>
        <v>4500</v>
      </c>
      <c r="O16" s="7">
        <f t="shared" si="3"/>
        <v>6000</v>
      </c>
    </row>
    <row r="17" spans="3:15" x14ac:dyDescent="0.3">
      <c r="D17" s="19">
        <f t="shared" ref="D17" si="34">N17+N18</f>
        <v>9000</v>
      </c>
      <c r="E17" s="9" t="s">
        <v>17</v>
      </c>
      <c r="F17" s="8">
        <f t="shared" ref="F17" si="35">IF(G17=4,O16, IF(G17=3,O16*75%, IF(G17=2,O16*50%, IF(G17=1,O16*25%))))</f>
        <v>3000</v>
      </c>
      <c r="G17" s="5">
        <f t="shared" ref="G17" si="36">$G$7</f>
        <v>2</v>
      </c>
      <c r="H17" s="9">
        <v>3000</v>
      </c>
      <c r="I17" s="9">
        <f t="shared" si="7"/>
        <v>6000</v>
      </c>
      <c r="J17" s="8">
        <f t="shared" si="8"/>
        <v>3000</v>
      </c>
      <c r="K17" s="8">
        <f t="shared" ref="K17" si="37">J16*$L$5</f>
        <v>3000</v>
      </c>
      <c r="L17" s="8">
        <f t="shared" ref="L17" si="38">(J17*$L$5)</f>
        <v>1500</v>
      </c>
      <c r="M17" s="9">
        <f t="shared" si="11"/>
        <v>3000</v>
      </c>
      <c r="N17" s="9">
        <f t="shared" si="2"/>
        <v>4500</v>
      </c>
      <c r="O17" s="7">
        <f t="shared" si="3"/>
        <v>7500</v>
      </c>
    </row>
    <row r="18" spans="3:15" x14ac:dyDescent="0.3">
      <c r="D18" s="19"/>
      <c r="E18" s="9" t="s">
        <v>18</v>
      </c>
      <c r="F18" s="8">
        <f t="shared" ref="F18" si="39">O17</f>
        <v>7500</v>
      </c>
      <c r="G18" s="5">
        <f t="shared" ref="G18" si="40">$G$8</f>
        <v>2</v>
      </c>
      <c r="H18" s="9">
        <v>3000</v>
      </c>
      <c r="I18" s="9">
        <f t="shared" si="7"/>
        <v>6000</v>
      </c>
      <c r="J18" s="8">
        <f t="shared" si="8"/>
        <v>6000</v>
      </c>
      <c r="K18" s="8">
        <f t="shared" ref="K18" si="41">J17*$O$5</f>
        <v>1500</v>
      </c>
      <c r="L18" s="8">
        <f t="shared" ref="L18" si="42">(J18*$O$5)</f>
        <v>3000</v>
      </c>
      <c r="M18" s="9">
        <f t="shared" si="11"/>
        <v>1500</v>
      </c>
      <c r="N18" s="9">
        <f t="shared" si="2"/>
        <v>4500</v>
      </c>
      <c r="O18" s="7">
        <f t="shared" si="3"/>
        <v>6000</v>
      </c>
    </row>
    <row r="19" spans="3:15" x14ac:dyDescent="0.3">
      <c r="D19" s="19">
        <f t="shared" ref="D19" si="43">N19+N20</f>
        <v>9000</v>
      </c>
      <c r="E19" s="9" t="s">
        <v>17</v>
      </c>
      <c r="F19" s="8">
        <f t="shared" ref="F19" si="44">IF(G19=4,O18, IF(G19=3,O18*75%, IF(G19=2,O18*50%, IF(G19=1,O18*25%))))</f>
        <v>3000</v>
      </c>
      <c r="G19" s="5">
        <f t="shared" ref="G19" si="45">$G$7</f>
        <v>2</v>
      </c>
      <c r="H19" s="9">
        <v>3000</v>
      </c>
      <c r="I19" s="9">
        <f t="shared" si="7"/>
        <v>6000</v>
      </c>
      <c r="J19" s="8">
        <f t="shared" si="8"/>
        <v>3000</v>
      </c>
      <c r="K19" s="8">
        <f t="shared" ref="K19" si="46">J18*$L$5</f>
        <v>3000</v>
      </c>
      <c r="L19" s="8">
        <f t="shared" ref="L19" si="47">(J19*$L$5)</f>
        <v>1500</v>
      </c>
      <c r="M19" s="9">
        <f t="shared" si="11"/>
        <v>3000</v>
      </c>
      <c r="N19" s="9">
        <f t="shared" si="2"/>
        <v>4500</v>
      </c>
      <c r="O19" s="7">
        <f t="shared" si="3"/>
        <v>7500</v>
      </c>
    </row>
    <row r="20" spans="3:15" x14ac:dyDescent="0.3">
      <c r="C20">
        <f>D19*0.85</f>
        <v>7650</v>
      </c>
      <c r="D20" s="19"/>
      <c r="E20" s="9" t="s">
        <v>18</v>
      </c>
      <c r="F20" s="8">
        <f t="shared" ref="F20" si="48">O19</f>
        <v>7500</v>
      </c>
      <c r="G20" s="5">
        <f t="shared" ref="G20" si="49">$G$8</f>
        <v>2</v>
      </c>
      <c r="H20" s="9">
        <v>3000</v>
      </c>
      <c r="I20" s="9">
        <f t="shared" si="7"/>
        <v>6000</v>
      </c>
      <c r="J20" s="8">
        <f t="shared" si="8"/>
        <v>6000</v>
      </c>
      <c r="K20" s="8">
        <f t="shared" ref="K20" si="50">J19*$O$5</f>
        <v>1500</v>
      </c>
      <c r="L20" s="8">
        <f t="shared" ref="L20" si="51">(J20*$O$5)</f>
        <v>3000</v>
      </c>
      <c r="M20" s="9">
        <f t="shared" si="11"/>
        <v>1500</v>
      </c>
      <c r="N20" s="9">
        <f t="shared" si="2"/>
        <v>4500</v>
      </c>
      <c r="O20" s="7">
        <f t="shared" si="3"/>
        <v>6000</v>
      </c>
    </row>
    <row r="21" spans="3:15" x14ac:dyDescent="0.3">
      <c r="D21" s="19">
        <f t="shared" ref="D21" si="52">N21+N22</f>
        <v>9000</v>
      </c>
      <c r="E21" s="9" t="s">
        <v>17</v>
      </c>
      <c r="F21" s="8">
        <f t="shared" ref="F21" si="53">IF(G21=4,O20, IF(G21=3,O20*75%, IF(G21=2,O20*50%, IF(G21=1,O20*25%))))</f>
        <v>3000</v>
      </c>
      <c r="G21" s="5">
        <f t="shared" ref="G21" si="54">$G$7</f>
        <v>2</v>
      </c>
      <c r="H21" s="9">
        <v>3000</v>
      </c>
      <c r="I21" s="9">
        <f t="shared" si="7"/>
        <v>6000</v>
      </c>
      <c r="J21" s="8">
        <f t="shared" si="8"/>
        <v>3000</v>
      </c>
      <c r="K21" s="8">
        <f t="shared" ref="K21" si="55">J20*$L$5</f>
        <v>3000</v>
      </c>
      <c r="L21" s="8">
        <f t="shared" ref="L21" si="56">(J21*$L$5)</f>
        <v>1500</v>
      </c>
      <c r="M21" s="9">
        <f t="shared" si="11"/>
        <v>3000</v>
      </c>
      <c r="N21" s="9">
        <f t="shared" si="2"/>
        <v>4500</v>
      </c>
      <c r="O21" s="7">
        <f t="shared" si="3"/>
        <v>7500</v>
      </c>
    </row>
    <row r="22" spans="3:15" x14ac:dyDescent="0.3">
      <c r="D22" s="19"/>
      <c r="E22" s="9" t="s">
        <v>18</v>
      </c>
      <c r="F22" s="8">
        <f t="shared" ref="F22" si="57">O21</f>
        <v>7500</v>
      </c>
      <c r="G22" s="5">
        <f t="shared" ref="G22" si="58">$G$8</f>
        <v>2</v>
      </c>
      <c r="H22" s="9">
        <v>3000</v>
      </c>
      <c r="I22" s="9">
        <f t="shared" si="7"/>
        <v>6000</v>
      </c>
      <c r="J22" s="8">
        <f t="shared" si="8"/>
        <v>6000</v>
      </c>
      <c r="K22" s="8">
        <f t="shared" ref="K22" si="59">J21*$O$5</f>
        <v>1500</v>
      </c>
      <c r="L22" s="8">
        <f t="shared" ref="L22" si="60">(J22*$O$5)</f>
        <v>3000</v>
      </c>
      <c r="M22" s="9">
        <f t="shared" si="11"/>
        <v>1500</v>
      </c>
      <c r="N22" s="9">
        <f t="shared" si="2"/>
        <v>4500</v>
      </c>
      <c r="O22" s="7">
        <f t="shared" si="3"/>
        <v>6000</v>
      </c>
    </row>
    <row r="23" spans="3:15" x14ac:dyDescent="0.3">
      <c r="D23" s="19">
        <f t="shared" ref="D23" si="61">N23+N24</f>
        <v>9000</v>
      </c>
      <c r="E23" s="9" t="s">
        <v>17</v>
      </c>
      <c r="F23" s="8">
        <f t="shared" ref="F23" si="62">IF(G23=4,O22, IF(G23=3,O22*75%, IF(G23=2,O22*50%, IF(G23=1,O22*25%))))</f>
        <v>3000</v>
      </c>
      <c r="G23" s="5">
        <f t="shared" ref="G23" si="63">$G$7</f>
        <v>2</v>
      </c>
      <c r="H23" s="9">
        <v>3000</v>
      </c>
      <c r="I23" s="9">
        <f t="shared" si="7"/>
        <v>6000</v>
      </c>
      <c r="J23" s="8">
        <f t="shared" si="8"/>
        <v>3000</v>
      </c>
      <c r="K23" s="8">
        <f t="shared" ref="K23" si="64">J22*$L$5</f>
        <v>3000</v>
      </c>
      <c r="L23" s="8">
        <f t="shared" ref="L23" si="65">(J23*$L$5)</f>
        <v>1500</v>
      </c>
      <c r="M23" s="9">
        <f t="shared" si="11"/>
        <v>3000</v>
      </c>
      <c r="N23" s="9">
        <f t="shared" si="2"/>
        <v>4500</v>
      </c>
      <c r="O23" s="7">
        <f t="shared" si="3"/>
        <v>7500</v>
      </c>
    </row>
    <row r="24" spans="3:15" x14ac:dyDescent="0.3">
      <c r="D24" s="19"/>
      <c r="E24" s="9" t="s">
        <v>18</v>
      </c>
      <c r="F24" s="8">
        <f t="shared" ref="F24" si="66">O23</f>
        <v>7500</v>
      </c>
      <c r="G24" s="5">
        <f t="shared" ref="G24" si="67">$G$8</f>
        <v>2</v>
      </c>
      <c r="H24" s="9">
        <v>3000</v>
      </c>
      <c r="I24" s="9">
        <f t="shared" si="7"/>
        <v>6000</v>
      </c>
      <c r="J24" s="8">
        <f t="shared" si="8"/>
        <v>6000</v>
      </c>
      <c r="K24" s="8">
        <f t="shared" ref="K24" si="68">J23*$O$5</f>
        <v>1500</v>
      </c>
      <c r="L24" s="8">
        <f t="shared" ref="L24" si="69">(J24*$O$5)</f>
        <v>3000</v>
      </c>
      <c r="M24" s="9">
        <f t="shared" si="11"/>
        <v>1500</v>
      </c>
      <c r="N24" s="9">
        <f t="shared" si="2"/>
        <v>4500</v>
      </c>
      <c r="O24" s="7">
        <f t="shared" si="3"/>
        <v>6000</v>
      </c>
    </row>
    <row r="25" spans="3:15" x14ac:dyDescent="0.3">
      <c r="D25" s="19">
        <f t="shared" ref="D25" si="70">N25+N26</f>
        <v>9000</v>
      </c>
      <c r="E25" s="9" t="s">
        <v>17</v>
      </c>
      <c r="F25" s="8">
        <f t="shared" ref="F25" si="71">IF(G25=4,O24, IF(G25=3,O24*75%, IF(G25=2,O24*50%, IF(G25=1,O24*25%))))</f>
        <v>3000</v>
      </c>
      <c r="G25" s="5">
        <f t="shared" ref="G25" si="72">$G$7</f>
        <v>2</v>
      </c>
      <c r="H25" s="9">
        <v>3000</v>
      </c>
      <c r="I25" s="9">
        <f t="shared" si="7"/>
        <v>6000</v>
      </c>
      <c r="J25" s="8">
        <f t="shared" si="8"/>
        <v>3000</v>
      </c>
      <c r="K25" s="8">
        <f t="shared" ref="K25" si="73">J24*$L$5</f>
        <v>3000</v>
      </c>
      <c r="L25" s="8">
        <f t="shared" ref="L25" si="74">(J25*$L$5)</f>
        <v>1500</v>
      </c>
      <c r="M25" s="9">
        <f t="shared" si="11"/>
        <v>3000</v>
      </c>
      <c r="N25" s="9">
        <f t="shared" si="2"/>
        <v>4500</v>
      </c>
      <c r="O25" s="7">
        <f t="shared" si="3"/>
        <v>7500</v>
      </c>
    </row>
    <row r="26" spans="3:15" x14ac:dyDescent="0.3">
      <c r="D26" s="19"/>
      <c r="E26" s="9" t="s">
        <v>18</v>
      </c>
      <c r="F26" s="8">
        <f t="shared" ref="F26" si="75">O25</f>
        <v>7500</v>
      </c>
      <c r="G26" s="5">
        <f t="shared" ref="G26" si="76">$G$8</f>
        <v>2</v>
      </c>
      <c r="H26" s="9">
        <v>3000</v>
      </c>
      <c r="I26" s="9">
        <f t="shared" si="7"/>
        <v>6000</v>
      </c>
      <c r="J26" s="8">
        <f t="shared" si="8"/>
        <v>6000</v>
      </c>
      <c r="K26" s="8">
        <f t="shared" ref="K26" si="77">J25*$O$5</f>
        <v>1500</v>
      </c>
      <c r="L26" s="8">
        <f t="shared" ref="L26" si="78">(J26*$O$5)</f>
        <v>3000</v>
      </c>
      <c r="M26" s="9">
        <f t="shared" si="11"/>
        <v>1500</v>
      </c>
      <c r="N26" s="9">
        <f t="shared" si="2"/>
        <v>4500</v>
      </c>
      <c r="O26" s="7">
        <f t="shared" si="3"/>
        <v>6000</v>
      </c>
    </row>
    <row r="27" spans="3:15" x14ac:dyDescent="0.3">
      <c r="D27" s="19">
        <f t="shared" ref="D27" si="79">N27+N28</f>
        <v>9000</v>
      </c>
      <c r="E27" s="9" t="s">
        <v>17</v>
      </c>
      <c r="F27" s="8">
        <f t="shared" ref="F27" si="80">IF(G27=4,O26, IF(G27=3,O26*75%, IF(G27=2,O26*50%, IF(G27=1,O26*25%))))</f>
        <v>3000</v>
      </c>
      <c r="G27" s="5">
        <f t="shared" ref="G27" si="81">$G$7</f>
        <v>2</v>
      </c>
      <c r="H27" s="9">
        <v>3000</v>
      </c>
      <c r="I27" s="9">
        <f t="shared" si="7"/>
        <v>6000</v>
      </c>
      <c r="J27" s="8">
        <f t="shared" si="8"/>
        <v>3000</v>
      </c>
      <c r="K27" s="8">
        <f t="shared" ref="K27" si="82">J26*$L$5</f>
        <v>3000</v>
      </c>
      <c r="L27" s="8">
        <f t="shared" ref="L27" si="83">(J27*$L$5)</f>
        <v>1500</v>
      </c>
      <c r="M27" s="9">
        <f t="shared" si="11"/>
        <v>3000</v>
      </c>
      <c r="N27" s="9">
        <f t="shared" si="2"/>
        <v>4500</v>
      </c>
      <c r="O27" s="7">
        <f t="shared" si="3"/>
        <v>7500</v>
      </c>
    </row>
    <row r="28" spans="3:15" x14ac:dyDescent="0.3">
      <c r="D28" s="19"/>
      <c r="E28" s="9" t="s">
        <v>18</v>
      </c>
      <c r="F28" s="8">
        <f t="shared" ref="F28" si="84">O27</f>
        <v>7500</v>
      </c>
      <c r="G28" s="5">
        <f t="shared" ref="G28" si="85">$G$8</f>
        <v>2</v>
      </c>
      <c r="H28" s="9">
        <v>3000</v>
      </c>
      <c r="I28" s="9">
        <f t="shared" si="7"/>
        <v>6000</v>
      </c>
      <c r="J28" s="8">
        <f t="shared" si="8"/>
        <v>6000</v>
      </c>
      <c r="K28" s="8">
        <f t="shared" ref="K28" si="86">J27*$O$5</f>
        <v>1500</v>
      </c>
      <c r="L28" s="8">
        <f t="shared" ref="L28" si="87">(J28*$O$5)</f>
        <v>3000</v>
      </c>
      <c r="M28" s="9">
        <f t="shared" si="11"/>
        <v>1500</v>
      </c>
      <c r="N28" s="9">
        <f t="shared" si="2"/>
        <v>4500</v>
      </c>
      <c r="O28" s="7">
        <f t="shared" si="3"/>
        <v>6000</v>
      </c>
    </row>
    <row r="29" spans="3:15" x14ac:dyDescent="0.3">
      <c r="D29" s="19">
        <f t="shared" ref="D29" si="88">N29+N30</f>
        <v>9000</v>
      </c>
      <c r="E29" s="9" t="s">
        <v>17</v>
      </c>
      <c r="F29" s="8">
        <f t="shared" ref="F29" si="89">IF(G29=4,O28, IF(G29=3,O28*75%, IF(G29=2,O28*50%, IF(G29=1,O28*25%))))</f>
        <v>3000</v>
      </c>
      <c r="G29" s="5">
        <f t="shared" ref="G29" si="90">$G$7</f>
        <v>2</v>
      </c>
      <c r="H29" s="9">
        <v>3000</v>
      </c>
      <c r="I29" s="9">
        <f t="shared" si="7"/>
        <v>6000</v>
      </c>
      <c r="J29" s="8">
        <f t="shared" si="8"/>
        <v>3000</v>
      </c>
      <c r="K29" s="8">
        <f t="shared" ref="K29" si="91">J28*$L$5</f>
        <v>3000</v>
      </c>
      <c r="L29" s="8">
        <f t="shared" ref="L29" si="92">(J29*$L$5)</f>
        <v>1500</v>
      </c>
      <c r="M29" s="9">
        <f t="shared" si="11"/>
        <v>3000</v>
      </c>
      <c r="N29" s="9">
        <f t="shared" si="2"/>
        <v>4500</v>
      </c>
      <c r="O29" s="7">
        <f t="shared" si="3"/>
        <v>7500</v>
      </c>
    </row>
    <row r="30" spans="3:15" x14ac:dyDescent="0.3">
      <c r="D30" s="19"/>
      <c r="E30" s="9" t="s">
        <v>18</v>
      </c>
      <c r="F30" s="8">
        <f t="shared" ref="F30" si="93">O29</f>
        <v>7500</v>
      </c>
      <c r="G30" s="5">
        <f t="shared" ref="G30" si="94">$G$8</f>
        <v>2</v>
      </c>
      <c r="H30" s="9">
        <v>3000</v>
      </c>
      <c r="I30" s="9">
        <f t="shared" si="7"/>
        <v>6000</v>
      </c>
      <c r="J30" s="8">
        <f t="shared" si="8"/>
        <v>6000</v>
      </c>
      <c r="K30" s="8">
        <f t="shared" ref="K30" si="95">J29*$O$5</f>
        <v>1500</v>
      </c>
      <c r="L30" s="8">
        <f t="shared" ref="L30" si="96">(J30*$O$5)</f>
        <v>3000</v>
      </c>
      <c r="M30" s="9">
        <f t="shared" si="11"/>
        <v>1500</v>
      </c>
      <c r="N30" s="9">
        <f t="shared" si="2"/>
        <v>4500</v>
      </c>
      <c r="O30" s="7">
        <f t="shared" si="3"/>
        <v>6000</v>
      </c>
    </row>
    <row r="31" spans="3:15" x14ac:dyDescent="0.3">
      <c r="D31" s="19">
        <f t="shared" ref="D31" si="97">N31+N32</f>
        <v>9000</v>
      </c>
      <c r="E31" s="9" t="s">
        <v>17</v>
      </c>
      <c r="F31" s="8">
        <f t="shared" ref="F31" si="98">IF(G31=4,O30, IF(G31=3,O30*75%, IF(G31=2,O30*50%, IF(G31=1,O30*25%))))</f>
        <v>3000</v>
      </c>
      <c r="G31" s="5">
        <f t="shared" ref="G31" si="99">$G$7</f>
        <v>2</v>
      </c>
      <c r="H31" s="9">
        <v>3000</v>
      </c>
      <c r="I31" s="9">
        <f t="shared" si="7"/>
        <v>6000</v>
      </c>
      <c r="J31" s="8">
        <f t="shared" si="8"/>
        <v>3000</v>
      </c>
      <c r="K31" s="8">
        <f t="shared" ref="K31" si="100">J30*$L$5</f>
        <v>3000</v>
      </c>
      <c r="L31" s="8">
        <f t="shared" ref="L31" si="101">(J31*$L$5)</f>
        <v>1500</v>
      </c>
      <c r="M31" s="9">
        <f t="shared" si="11"/>
        <v>3000</v>
      </c>
      <c r="N31" s="9">
        <f t="shared" si="2"/>
        <v>4500</v>
      </c>
      <c r="O31" s="7">
        <f t="shared" si="3"/>
        <v>7500</v>
      </c>
    </row>
    <row r="32" spans="3:15" x14ac:dyDescent="0.3">
      <c r="D32" s="19"/>
      <c r="E32" s="9" t="s">
        <v>18</v>
      </c>
      <c r="F32" s="8">
        <f t="shared" ref="F32" si="102">O31</f>
        <v>7500</v>
      </c>
      <c r="G32" s="5">
        <f t="shared" ref="G32" si="103">$G$8</f>
        <v>2</v>
      </c>
      <c r="H32" s="9">
        <v>3000</v>
      </c>
      <c r="I32" s="9">
        <f t="shared" si="7"/>
        <v>6000</v>
      </c>
      <c r="J32" s="8">
        <f t="shared" si="8"/>
        <v>6000</v>
      </c>
      <c r="K32" s="8">
        <f t="shared" ref="K32" si="104">J31*$O$5</f>
        <v>1500</v>
      </c>
      <c r="L32" s="8">
        <f t="shared" ref="L32" si="105">(J32*$O$5)</f>
        <v>3000</v>
      </c>
      <c r="M32" s="9">
        <f t="shared" si="11"/>
        <v>1500</v>
      </c>
      <c r="N32" s="9">
        <f t="shared" si="2"/>
        <v>4500</v>
      </c>
      <c r="O32" s="7">
        <f t="shared" si="3"/>
        <v>6000</v>
      </c>
    </row>
    <row r="33" spans="4:15" x14ac:dyDescent="0.3">
      <c r="D33" s="19">
        <f t="shared" ref="D33" si="106">N33+N34</f>
        <v>9000</v>
      </c>
      <c r="E33" s="9" t="s">
        <v>17</v>
      </c>
      <c r="F33" s="8">
        <f t="shared" ref="F33" si="107">IF(G33=4,O32, IF(G33=3,O32*75%, IF(G33=2,O32*50%, IF(G33=1,O32*25%))))</f>
        <v>3000</v>
      </c>
      <c r="G33" s="5">
        <f t="shared" ref="G33" si="108">$G$7</f>
        <v>2</v>
      </c>
      <c r="H33" s="9">
        <v>3000</v>
      </c>
      <c r="I33" s="9">
        <f t="shared" si="7"/>
        <v>6000</v>
      </c>
      <c r="J33" s="8">
        <f t="shared" si="8"/>
        <v>3000</v>
      </c>
      <c r="K33" s="8">
        <f t="shared" ref="K33" si="109">J32*$L$5</f>
        <v>3000</v>
      </c>
      <c r="L33" s="8">
        <f t="shared" ref="L33" si="110">(J33*$L$5)</f>
        <v>1500</v>
      </c>
      <c r="M33" s="9">
        <f t="shared" si="11"/>
        <v>3000</v>
      </c>
      <c r="N33" s="9">
        <f t="shared" si="2"/>
        <v>4500</v>
      </c>
      <c r="O33" s="7">
        <f t="shared" si="3"/>
        <v>7500</v>
      </c>
    </row>
    <row r="34" spans="4:15" x14ac:dyDescent="0.3">
      <c r="D34" s="19"/>
      <c r="E34" s="9" t="s">
        <v>18</v>
      </c>
      <c r="F34" s="8">
        <f t="shared" ref="F34" si="111">O33</f>
        <v>7500</v>
      </c>
      <c r="G34" s="5">
        <f t="shared" ref="G34" si="112">$G$8</f>
        <v>2</v>
      </c>
      <c r="H34" s="9">
        <v>3000</v>
      </c>
      <c r="I34" s="9">
        <f t="shared" si="7"/>
        <v>6000</v>
      </c>
      <c r="J34" s="8">
        <f t="shared" si="8"/>
        <v>6000</v>
      </c>
      <c r="K34" s="8">
        <f t="shared" ref="K34" si="113">J33*$O$5</f>
        <v>1500</v>
      </c>
      <c r="L34" s="8">
        <f t="shared" ref="L34" si="114">(J34*$O$5)</f>
        <v>3000</v>
      </c>
      <c r="M34" s="9">
        <f t="shared" si="11"/>
        <v>1500</v>
      </c>
      <c r="N34" s="9">
        <f t="shared" si="2"/>
        <v>4500</v>
      </c>
      <c r="O34" s="7">
        <f t="shared" si="3"/>
        <v>6000</v>
      </c>
    </row>
    <row r="35" spans="4:15" x14ac:dyDescent="0.3">
      <c r="D35" s="19">
        <f t="shared" ref="D35" si="115">N35+N36</f>
        <v>9000</v>
      </c>
      <c r="E35" s="9" t="s">
        <v>17</v>
      </c>
      <c r="F35" s="8">
        <f t="shared" ref="F35" si="116">IF(G35=4,O34, IF(G35=3,O34*75%, IF(G35=2,O34*50%, IF(G35=1,O34*25%))))</f>
        <v>3000</v>
      </c>
      <c r="G35" s="5">
        <f t="shared" ref="G35" si="117">$G$7</f>
        <v>2</v>
      </c>
      <c r="H35" s="9">
        <v>3000</v>
      </c>
      <c r="I35" s="9">
        <f t="shared" si="7"/>
        <v>6000</v>
      </c>
      <c r="J35" s="8">
        <f t="shared" si="8"/>
        <v>3000</v>
      </c>
      <c r="K35" s="8">
        <f t="shared" ref="K35" si="118">J34*$L$5</f>
        <v>3000</v>
      </c>
      <c r="L35" s="8">
        <f t="shared" ref="L35" si="119">(J35*$L$5)</f>
        <v>1500</v>
      </c>
      <c r="M35" s="9">
        <f t="shared" si="11"/>
        <v>3000</v>
      </c>
      <c r="N35" s="9">
        <f t="shared" si="2"/>
        <v>4500</v>
      </c>
      <c r="O35" s="7">
        <f t="shared" si="3"/>
        <v>7500</v>
      </c>
    </row>
    <row r="36" spans="4:15" x14ac:dyDescent="0.3">
      <c r="D36" s="19"/>
      <c r="E36" s="9" t="s">
        <v>18</v>
      </c>
      <c r="F36" s="8">
        <f t="shared" ref="F36" si="120">O35</f>
        <v>7500</v>
      </c>
      <c r="G36" s="5">
        <f t="shared" ref="G36" si="121">$G$8</f>
        <v>2</v>
      </c>
      <c r="H36" s="9">
        <v>3000</v>
      </c>
      <c r="I36" s="9">
        <f t="shared" si="7"/>
        <v>6000</v>
      </c>
      <c r="J36" s="8">
        <f t="shared" si="8"/>
        <v>6000</v>
      </c>
      <c r="K36" s="8">
        <f t="shared" ref="K36" si="122">J35*$O$5</f>
        <v>1500</v>
      </c>
      <c r="L36" s="8">
        <f t="shared" ref="L36" si="123">(J36*$O$5)</f>
        <v>3000</v>
      </c>
      <c r="M36" s="9">
        <f t="shared" si="11"/>
        <v>1500</v>
      </c>
      <c r="N36" s="9">
        <f t="shared" si="2"/>
        <v>4500</v>
      </c>
      <c r="O36" s="7">
        <f t="shared" si="3"/>
        <v>6000</v>
      </c>
    </row>
    <row r="37" spans="4:15" x14ac:dyDescent="0.3">
      <c r="D37" s="19">
        <f t="shared" ref="D37" si="124">N37+N38</f>
        <v>9000</v>
      </c>
      <c r="E37" s="9" t="s">
        <v>17</v>
      </c>
      <c r="F37" s="8">
        <f t="shared" ref="F37" si="125">IF(G37=4,O36, IF(G37=3,O36*75%, IF(G37=2,O36*50%, IF(G37=1,O36*25%))))</f>
        <v>3000</v>
      </c>
      <c r="G37" s="5">
        <f t="shared" ref="G37" si="126">$G$7</f>
        <v>2</v>
      </c>
      <c r="H37" s="9">
        <v>3000</v>
      </c>
      <c r="I37" s="9">
        <f t="shared" si="7"/>
        <v>6000</v>
      </c>
      <c r="J37" s="8">
        <f t="shared" si="8"/>
        <v>3000</v>
      </c>
      <c r="K37" s="8">
        <f t="shared" ref="K37" si="127">J36*$L$5</f>
        <v>3000</v>
      </c>
      <c r="L37" s="8">
        <f t="shared" ref="L37" si="128">(J37*$L$5)</f>
        <v>1500</v>
      </c>
      <c r="M37" s="9">
        <f t="shared" si="11"/>
        <v>3000</v>
      </c>
      <c r="N37" s="9">
        <f t="shared" si="2"/>
        <v>4500</v>
      </c>
      <c r="O37" s="7">
        <f t="shared" si="3"/>
        <v>7500</v>
      </c>
    </row>
    <row r="38" spans="4:15" x14ac:dyDescent="0.3">
      <c r="D38" s="19"/>
      <c r="E38" s="9" t="s">
        <v>18</v>
      </c>
      <c r="F38" s="8">
        <f t="shared" ref="F38" si="129">O37</f>
        <v>7500</v>
      </c>
      <c r="G38" s="5">
        <f t="shared" ref="G38" si="130">$G$8</f>
        <v>2</v>
      </c>
      <c r="H38" s="9">
        <v>3000</v>
      </c>
      <c r="I38" s="9">
        <f t="shared" si="7"/>
        <v>6000</v>
      </c>
      <c r="J38" s="8">
        <f t="shared" si="8"/>
        <v>6000</v>
      </c>
      <c r="K38" s="8">
        <f t="shared" ref="K38" si="131">J37*$O$5</f>
        <v>1500</v>
      </c>
      <c r="L38" s="8">
        <f t="shared" ref="L38" si="132">(J38*$O$5)</f>
        <v>3000</v>
      </c>
      <c r="M38" s="9">
        <f t="shared" si="11"/>
        <v>1500</v>
      </c>
      <c r="N38" s="9">
        <f t="shared" si="2"/>
        <v>4500</v>
      </c>
      <c r="O38" s="7">
        <f t="shared" si="3"/>
        <v>6000</v>
      </c>
    </row>
    <row r="39" spans="4:15" x14ac:dyDescent="0.3">
      <c r="D39" s="19">
        <f t="shared" ref="D39" si="133">N39+N40</f>
        <v>9000</v>
      </c>
      <c r="E39" s="9" t="s">
        <v>17</v>
      </c>
      <c r="F39" s="8">
        <f t="shared" ref="F39" si="134">IF(G39=4,O38, IF(G39=3,O38*75%, IF(G39=2,O38*50%, IF(G39=1,O38*25%))))</f>
        <v>3000</v>
      </c>
      <c r="G39" s="5">
        <f t="shared" ref="G39" si="135">$G$7</f>
        <v>2</v>
      </c>
      <c r="H39" s="9">
        <v>3000</v>
      </c>
      <c r="I39" s="9">
        <f t="shared" si="7"/>
        <v>6000</v>
      </c>
      <c r="J39" s="8">
        <f t="shared" si="8"/>
        <v>3000</v>
      </c>
      <c r="K39" s="8">
        <f t="shared" ref="K39" si="136">J38*$L$5</f>
        <v>3000</v>
      </c>
      <c r="L39" s="8">
        <f t="shared" ref="L39" si="137">(J39*$L$5)</f>
        <v>1500</v>
      </c>
      <c r="M39" s="9">
        <f t="shared" si="11"/>
        <v>3000</v>
      </c>
      <c r="N39" s="9">
        <f t="shared" si="2"/>
        <v>4500</v>
      </c>
      <c r="O39" s="7">
        <f t="shared" si="3"/>
        <v>7500</v>
      </c>
    </row>
    <row r="40" spans="4:15" x14ac:dyDescent="0.3">
      <c r="D40" s="19"/>
      <c r="E40" s="9" t="s">
        <v>18</v>
      </c>
      <c r="F40" s="8">
        <f t="shared" ref="F40" si="138">O39</f>
        <v>7500</v>
      </c>
      <c r="G40" s="5">
        <f t="shared" ref="G40" si="139">$G$8</f>
        <v>2</v>
      </c>
      <c r="H40" s="9">
        <v>3000</v>
      </c>
      <c r="I40" s="9">
        <f t="shared" si="7"/>
        <v>6000</v>
      </c>
      <c r="J40" s="8">
        <f t="shared" si="8"/>
        <v>6000</v>
      </c>
      <c r="K40" s="8">
        <f t="shared" ref="K40" si="140">J39*$O$5</f>
        <v>1500</v>
      </c>
      <c r="L40" s="8">
        <f t="shared" ref="L40" si="141">(J40*$O$5)</f>
        <v>3000</v>
      </c>
      <c r="M40" s="9">
        <f t="shared" si="11"/>
        <v>1500</v>
      </c>
      <c r="N40" s="9">
        <f t="shared" si="2"/>
        <v>4500</v>
      </c>
      <c r="O40" s="7">
        <f t="shared" si="3"/>
        <v>6000</v>
      </c>
    </row>
    <row r="41" spans="4:15" x14ac:dyDescent="0.3">
      <c r="D41" s="19">
        <f t="shared" ref="D41" si="142">N41+N42</f>
        <v>9000</v>
      </c>
      <c r="E41" s="9" t="s">
        <v>17</v>
      </c>
      <c r="F41" s="8">
        <f t="shared" ref="F41" si="143">IF(G41=4,O40, IF(G41=3,O40*75%, IF(G41=2,O40*50%, IF(G41=1,O40*25%))))</f>
        <v>3000</v>
      </c>
      <c r="G41" s="5">
        <f t="shared" ref="G41" si="144">$G$7</f>
        <v>2</v>
      </c>
      <c r="H41" s="9">
        <v>3000</v>
      </c>
      <c r="I41" s="9">
        <f t="shared" si="7"/>
        <v>6000</v>
      </c>
      <c r="J41" s="8">
        <f t="shared" si="8"/>
        <v>3000</v>
      </c>
      <c r="K41" s="8">
        <f t="shared" ref="K41" si="145">J40*$L$5</f>
        <v>3000</v>
      </c>
      <c r="L41" s="8">
        <f t="shared" ref="L41" si="146">(J41*$L$5)</f>
        <v>1500</v>
      </c>
      <c r="M41" s="9">
        <f t="shared" si="11"/>
        <v>3000</v>
      </c>
      <c r="N41" s="9">
        <f t="shared" si="2"/>
        <v>4500</v>
      </c>
      <c r="O41" s="7">
        <f t="shared" si="3"/>
        <v>7500</v>
      </c>
    </row>
    <row r="42" spans="4:15" x14ac:dyDescent="0.3">
      <c r="D42" s="19"/>
      <c r="E42" s="9" t="s">
        <v>18</v>
      </c>
      <c r="F42" s="8">
        <f t="shared" ref="F42" si="147">O41</f>
        <v>7500</v>
      </c>
      <c r="G42" s="5">
        <f t="shared" ref="G42" si="148">$G$8</f>
        <v>2</v>
      </c>
      <c r="H42" s="9">
        <v>3000</v>
      </c>
      <c r="I42" s="9">
        <f t="shared" si="7"/>
        <v>6000</v>
      </c>
      <c r="J42" s="8">
        <f t="shared" si="8"/>
        <v>6000</v>
      </c>
      <c r="K42" s="8">
        <f t="shared" ref="K42" si="149">J41*$O$5</f>
        <v>1500</v>
      </c>
      <c r="L42" s="8">
        <f t="shared" ref="L42" si="150">(J42*$O$5)</f>
        <v>3000</v>
      </c>
      <c r="M42" s="9">
        <f t="shared" si="11"/>
        <v>1500</v>
      </c>
      <c r="N42" s="9">
        <f t="shared" si="2"/>
        <v>4500</v>
      </c>
      <c r="O42" s="7">
        <f t="shared" si="3"/>
        <v>6000</v>
      </c>
    </row>
    <row r="43" spans="4:15" x14ac:dyDescent="0.3">
      <c r="D43" s="19">
        <f t="shared" ref="D43" si="151">N43+N44</f>
        <v>9000</v>
      </c>
      <c r="E43" s="9" t="s">
        <v>17</v>
      </c>
      <c r="F43" s="8">
        <f t="shared" ref="F43" si="152">IF(G43=4,O42, IF(G43=3,O42*75%, IF(G43=2,O42*50%, IF(G43=1,O42*25%))))</f>
        <v>3000</v>
      </c>
      <c r="G43" s="5">
        <f t="shared" ref="G43" si="153">$G$7</f>
        <v>2</v>
      </c>
      <c r="H43" s="9">
        <v>3000</v>
      </c>
      <c r="I43" s="9">
        <f t="shared" si="7"/>
        <v>6000</v>
      </c>
      <c r="J43" s="8">
        <f t="shared" si="8"/>
        <v>3000</v>
      </c>
      <c r="K43" s="8">
        <f t="shared" ref="K43" si="154">J42*$L$5</f>
        <v>3000</v>
      </c>
      <c r="L43" s="8">
        <f t="shared" ref="L43" si="155">(J43*$L$5)</f>
        <v>1500</v>
      </c>
      <c r="M43" s="9">
        <f t="shared" si="11"/>
        <v>3000</v>
      </c>
      <c r="N43" s="9">
        <f t="shared" si="2"/>
        <v>4500</v>
      </c>
      <c r="O43" s="7">
        <f t="shared" si="3"/>
        <v>7500</v>
      </c>
    </row>
    <row r="44" spans="4:15" x14ac:dyDescent="0.3">
      <c r="D44" s="19"/>
      <c r="E44" s="9" t="s">
        <v>18</v>
      </c>
      <c r="F44" s="8">
        <f t="shared" ref="F44" si="156">O43</f>
        <v>7500</v>
      </c>
      <c r="G44" s="5">
        <f t="shared" ref="G44" si="157">$G$8</f>
        <v>2</v>
      </c>
      <c r="H44" s="9">
        <v>3000</v>
      </c>
      <c r="I44" s="9">
        <f t="shared" si="7"/>
        <v>6000</v>
      </c>
      <c r="J44" s="8">
        <f t="shared" si="8"/>
        <v>6000</v>
      </c>
      <c r="K44" s="8">
        <f t="shared" ref="K44" si="158">J43*$O$5</f>
        <v>1500</v>
      </c>
      <c r="L44" s="8">
        <f t="shared" ref="L44" si="159">(J44*$O$5)</f>
        <v>3000</v>
      </c>
      <c r="M44" s="9">
        <f t="shared" si="11"/>
        <v>1500</v>
      </c>
      <c r="N44" s="9">
        <f t="shared" si="2"/>
        <v>4500</v>
      </c>
      <c r="O44" s="7">
        <f t="shared" si="3"/>
        <v>6000</v>
      </c>
    </row>
    <row r="45" spans="4:15" x14ac:dyDescent="0.3">
      <c r="D45" s="19">
        <f t="shared" ref="D45" si="160">N45+N46</f>
        <v>9000</v>
      </c>
      <c r="E45" s="9" t="s">
        <v>17</v>
      </c>
      <c r="F45" s="8">
        <f t="shared" ref="F45" si="161">IF(G45=4,O44, IF(G45=3,O44*75%, IF(G45=2,O44*50%, IF(G45=1,O44*25%))))</f>
        <v>3000</v>
      </c>
      <c r="G45" s="5">
        <f t="shared" ref="G45" si="162">$G$7</f>
        <v>2</v>
      </c>
      <c r="H45" s="9">
        <v>3000</v>
      </c>
      <c r="I45" s="9">
        <f t="shared" si="7"/>
        <v>6000</v>
      </c>
      <c r="J45" s="8">
        <f t="shared" si="8"/>
        <v>3000</v>
      </c>
      <c r="K45" s="8">
        <f t="shared" ref="K45" si="163">J44*$L$5</f>
        <v>3000</v>
      </c>
      <c r="L45" s="8">
        <f t="shared" ref="L45" si="164">(J45*$L$5)</f>
        <v>1500</v>
      </c>
      <c r="M45" s="9">
        <f t="shared" si="11"/>
        <v>3000</v>
      </c>
      <c r="N45" s="9">
        <f t="shared" si="2"/>
        <v>4500</v>
      </c>
      <c r="O45" s="7">
        <f t="shared" si="3"/>
        <v>7500</v>
      </c>
    </row>
    <row r="46" spans="4:15" x14ac:dyDescent="0.3">
      <c r="D46" s="19"/>
      <c r="E46" s="9" t="s">
        <v>18</v>
      </c>
      <c r="F46" s="8">
        <f t="shared" ref="F46" si="165">O45</f>
        <v>7500</v>
      </c>
      <c r="G46" s="5">
        <f t="shared" ref="G46" si="166">$G$8</f>
        <v>2</v>
      </c>
      <c r="H46" s="9">
        <v>3000</v>
      </c>
      <c r="I46" s="9">
        <f t="shared" si="7"/>
        <v>6000</v>
      </c>
      <c r="J46" s="8">
        <f t="shared" si="8"/>
        <v>6000</v>
      </c>
      <c r="K46" s="8">
        <f t="shared" ref="K46" si="167">J45*$O$5</f>
        <v>1500</v>
      </c>
      <c r="L46" s="8">
        <f t="shared" ref="L46" si="168">(J46*$O$5)</f>
        <v>3000</v>
      </c>
      <c r="M46" s="9">
        <f t="shared" si="11"/>
        <v>1500</v>
      </c>
      <c r="N46" s="9">
        <f t="shared" si="2"/>
        <v>4500</v>
      </c>
      <c r="O46" s="7">
        <f t="shared" si="3"/>
        <v>6000</v>
      </c>
    </row>
    <row r="47" spans="4:15" x14ac:dyDescent="0.3">
      <c r="D47" s="19">
        <f t="shared" ref="D47" si="169">N47+N48</f>
        <v>9000</v>
      </c>
      <c r="E47" s="9" t="s">
        <v>17</v>
      </c>
      <c r="F47" s="8">
        <f t="shared" ref="F47" si="170">IF(G47=4,O46, IF(G47=3,O46*75%, IF(G47=2,O46*50%, IF(G47=1,O46*25%))))</f>
        <v>3000</v>
      </c>
      <c r="G47" s="5">
        <f t="shared" ref="G47" si="171">$G$7</f>
        <v>2</v>
      </c>
      <c r="H47" s="9">
        <v>3000</v>
      </c>
      <c r="I47" s="9">
        <f t="shared" si="7"/>
        <v>6000</v>
      </c>
      <c r="J47" s="8">
        <f t="shared" si="8"/>
        <v>3000</v>
      </c>
      <c r="K47" s="8">
        <f t="shared" ref="K47" si="172">J46*$L$5</f>
        <v>3000</v>
      </c>
      <c r="L47" s="8">
        <f t="shared" ref="L47" si="173">(J47*$L$5)</f>
        <v>1500</v>
      </c>
      <c r="M47" s="9">
        <f t="shared" si="11"/>
        <v>3000</v>
      </c>
      <c r="N47" s="9">
        <f t="shared" si="2"/>
        <v>4500</v>
      </c>
      <c r="O47" s="7">
        <f t="shared" si="3"/>
        <v>7500</v>
      </c>
    </row>
    <row r="48" spans="4:15" x14ac:dyDescent="0.3">
      <c r="D48" s="19"/>
      <c r="E48" s="9" t="s">
        <v>18</v>
      </c>
      <c r="F48" s="8">
        <f t="shared" ref="F48" si="174">O47</f>
        <v>7500</v>
      </c>
      <c r="G48" s="5">
        <f t="shared" ref="G48" si="175">$G$8</f>
        <v>2</v>
      </c>
      <c r="H48" s="9">
        <v>3000</v>
      </c>
      <c r="I48" s="9">
        <f t="shared" si="7"/>
        <v>6000</v>
      </c>
      <c r="J48" s="8">
        <f t="shared" si="8"/>
        <v>6000</v>
      </c>
      <c r="K48" s="8">
        <f t="shared" ref="K48" si="176">J47*$O$5</f>
        <v>1500</v>
      </c>
      <c r="L48" s="8">
        <f t="shared" ref="L48" si="177">(J48*$O$5)</f>
        <v>3000</v>
      </c>
      <c r="M48" s="9">
        <f t="shared" si="11"/>
        <v>1500</v>
      </c>
      <c r="N48" s="9">
        <f t="shared" si="2"/>
        <v>4500</v>
      </c>
      <c r="O48" s="7">
        <f t="shared" si="3"/>
        <v>6000</v>
      </c>
    </row>
    <row r="49" spans="4:15" x14ac:dyDescent="0.3">
      <c r="D49" s="19">
        <f t="shared" ref="D49" si="178">N49+N50</f>
        <v>9000</v>
      </c>
      <c r="E49" s="9" t="s">
        <v>17</v>
      </c>
      <c r="F49" s="8">
        <f t="shared" ref="F49" si="179">IF(G49=4,O48, IF(G49=3,O48*75%, IF(G49=2,O48*50%, IF(G49=1,O48*25%))))</f>
        <v>3000</v>
      </c>
      <c r="G49" s="5">
        <f t="shared" ref="G49" si="180">$G$7</f>
        <v>2</v>
      </c>
      <c r="H49" s="9">
        <v>3000</v>
      </c>
      <c r="I49" s="9">
        <f t="shared" si="7"/>
        <v>6000</v>
      </c>
      <c r="J49" s="8">
        <f t="shared" si="8"/>
        <v>3000</v>
      </c>
      <c r="K49" s="8">
        <f t="shared" ref="K49" si="181">J48*$L$5</f>
        <v>3000</v>
      </c>
      <c r="L49" s="8">
        <f t="shared" ref="L49" si="182">(J49*$L$5)</f>
        <v>1500</v>
      </c>
      <c r="M49" s="9">
        <f t="shared" si="11"/>
        <v>3000</v>
      </c>
      <c r="N49" s="9">
        <f t="shared" si="2"/>
        <v>4500</v>
      </c>
      <c r="O49" s="7">
        <f t="shared" si="3"/>
        <v>7500</v>
      </c>
    </row>
    <row r="50" spans="4:15" x14ac:dyDescent="0.3">
      <c r="D50" s="19"/>
      <c r="E50" s="9" t="s">
        <v>18</v>
      </c>
      <c r="F50" s="8">
        <f t="shared" ref="F50" si="183">O49</f>
        <v>7500</v>
      </c>
      <c r="G50" s="5">
        <f t="shared" ref="G50" si="184">$G$8</f>
        <v>2</v>
      </c>
      <c r="H50" s="9">
        <v>3000</v>
      </c>
      <c r="I50" s="9">
        <f t="shared" si="7"/>
        <v>6000</v>
      </c>
      <c r="J50" s="8">
        <f t="shared" si="8"/>
        <v>6000</v>
      </c>
      <c r="K50" s="8">
        <f t="shared" ref="K50" si="185">J49*$O$5</f>
        <v>1500</v>
      </c>
      <c r="L50" s="8">
        <f t="shared" ref="L50" si="186">(J50*$O$5)</f>
        <v>3000</v>
      </c>
      <c r="M50" s="9">
        <f t="shared" si="11"/>
        <v>1500</v>
      </c>
      <c r="N50" s="9">
        <f t="shared" si="2"/>
        <v>4500</v>
      </c>
      <c r="O50" s="7">
        <f t="shared" si="3"/>
        <v>6000</v>
      </c>
    </row>
    <row r="51" spans="4:15" x14ac:dyDescent="0.3">
      <c r="D51" s="19">
        <f t="shared" ref="D51" si="187">N51+N52</f>
        <v>9000</v>
      </c>
      <c r="E51" s="9" t="s">
        <v>17</v>
      </c>
      <c r="F51" s="8">
        <f t="shared" ref="F51" si="188">IF(G51=4,O50, IF(G51=3,O50*75%, IF(G51=2,O50*50%, IF(G51=1,O50*25%))))</f>
        <v>3000</v>
      </c>
      <c r="G51" s="5">
        <f t="shared" ref="G51" si="189">$G$7</f>
        <v>2</v>
      </c>
      <c r="H51" s="9">
        <v>3000</v>
      </c>
      <c r="I51" s="9">
        <f t="shared" si="7"/>
        <v>6000</v>
      </c>
      <c r="J51" s="8">
        <f t="shared" si="8"/>
        <v>3000</v>
      </c>
      <c r="K51" s="8">
        <f t="shared" ref="K51" si="190">J50*$L$5</f>
        <v>3000</v>
      </c>
      <c r="L51" s="8">
        <f t="shared" ref="L51" si="191">(J51*$L$5)</f>
        <v>1500</v>
      </c>
      <c r="M51" s="9">
        <f t="shared" si="11"/>
        <v>3000</v>
      </c>
      <c r="N51" s="9">
        <f t="shared" si="2"/>
        <v>4500</v>
      </c>
      <c r="O51" s="7">
        <f t="shared" si="3"/>
        <v>7500</v>
      </c>
    </row>
    <row r="52" spans="4:15" x14ac:dyDescent="0.3">
      <c r="D52" s="19"/>
      <c r="E52" s="9" t="s">
        <v>18</v>
      </c>
      <c r="F52" s="8">
        <f t="shared" ref="F52" si="192">O51</f>
        <v>7500</v>
      </c>
      <c r="G52" s="5">
        <f t="shared" ref="G52" si="193">$G$8</f>
        <v>2</v>
      </c>
      <c r="H52" s="9">
        <v>3000</v>
      </c>
      <c r="I52" s="9">
        <f t="shared" si="7"/>
        <v>6000</v>
      </c>
      <c r="J52" s="8">
        <f t="shared" si="8"/>
        <v>6000</v>
      </c>
      <c r="K52" s="8">
        <f t="shared" ref="K52" si="194">J51*$O$5</f>
        <v>1500</v>
      </c>
      <c r="L52" s="8">
        <f t="shared" ref="L52" si="195">(J52*$O$5)</f>
        <v>3000</v>
      </c>
      <c r="M52" s="9">
        <f t="shared" si="11"/>
        <v>1500</v>
      </c>
      <c r="N52" s="9">
        <f t="shared" si="2"/>
        <v>4500</v>
      </c>
      <c r="O52" s="7">
        <f t="shared" si="3"/>
        <v>6000</v>
      </c>
    </row>
    <row r="53" spans="4:15" x14ac:dyDescent="0.3">
      <c r="D53" s="19">
        <f t="shared" ref="D53" si="196">N53+N54</f>
        <v>9000</v>
      </c>
      <c r="E53" s="9" t="s">
        <v>17</v>
      </c>
      <c r="F53" s="8">
        <f t="shared" ref="F53" si="197">IF(G53=4,O52, IF(G53=3,O52*75%, IF(G53=2,O52*50%, IF(G53=1,O52*25%))))</f>
        <v>3000</v>
      </c>
      <c r="G53" s="5">
        <f t="shared" ref="G53" si="198">$G$7</f>
        <v>2</v>
      </c>
      <c r="H53" s="9">
        <v>3000</v>
      </c>
      <c r="I53" s="9">
        <f t="shared" si="7"/>
        <v>6000</v>
      </c>
      <c r="J53" s="8">
        <f t="shared" si="8"/>
        <v>3000</v>
      </c>
      <c r="K53" s="8">
        <f t="shared" ref="K53" si="199">J52*$L$5</f>
        <v>3000</v>
      </c>
      <c r="L53" s="8">
        <f t="shared" ref="L53" si="200">(J53*$L$5)</f>
        <v>1500</v>
      </c>
      <c r="M53" s="9">
        <f t="shared" si="11"/>
        <v>3000</v>
      </c>
      <c r="N53" s="9">
        <f t="shared" si="2"/>
        <v>4500</v>
      </c>
      <c r="O53" s="7">
        <f t="shared" si="3"/>
        <v>7500</v>
      </c>
    </row>
    <row r="54" spans="4:15" x14ac:dyDescent="0.3">
      <c r="D54" s="19"/>
      <c r="E54" s="9" t="s">
        <v>18</v>
      </c>
      <c r="F54" s="8">
        <f t="shared" ref="F54" si="201">O53</f>
        <v>7500</v>
      </c>
      <c r="G54" s="5">
        <f t="shared" ref="G54" si="202">$G$8</f>
        <v>2</v>
      </c>
      <c r="H54" s="9">
        <v>3000</v>
      </c>
      <c r="I54" s="9">
        <f t="shared" si="7"/>
        <v>6000</v>
      </c>
      <c r="J54" s="8">
        <f t="shared" si="8"/>
        <v>6000</v>
      </c>
      <c r="K54" s="8">
        <f t="shared" ref="K54" si="203">J53*$O$5</f>
        <v>1500</v>
      </c>
      <c r="L54" s="8">
        <f t="shared" ref="L54" si="204">(J54*$O$5)</f>
        <v>3000</v>
      </c>
      <c r="M54" s="9">
        <f t="shared" si="11"/>
        <v>1500</v>
      </c>
      <c r="N54" s="9">
        <f t="shared" si="2"/>
        <v>4500</v>
      </c>
      <c r="O54" s="7">
        <f t="shared" si="3"/>
        <v>6000</v>
      </c>
    </row>
    <row r="55" spans="4:15" x14ac:dyDescent="0.3">
      <c r="D55" s="19">
        <f t="shared" ref="D55" si="205">N55+N56</f>
        <v>9000</v>
      </c>
      <c r="E55" s="9" t="s">
        <v>17</v>
      </c>
      <c r="F55" s="8">
        <f t="shared" ref="F55" si="206">IF(G55=4,O54, IF(G55=3,O54*75%, IF(G55=2,O54*50%, IF(G55=1,O54*25%))))</f>
        <v>3000</v>
      </c>
      <c r="G55" s="5">
        <f t="shared" ref="G55" si="207">$G$7</f>
        <v>2</v>
      </c>
      <c r="H55" s="9">
        <v>3000</v>
      </c>
      <c r="I55" s="9">
        <f t="shared" si="7"/>
        <v>6000</v>
      </c>
      <c r="J55" s="8">
        <f t="shared" si="8"/>
        <v>3000</v>
      </c>
      <c r="K55" s="8">
        <f t="shared" ref="K55" si="208">J54*$L$5</f>
        <v>3000</v>
      </c>
      <c r="L55" s="8">
        <f t="shared" ref="L55" si="209">(J55*$L$5)</f>
        <v>1500</v>
      </c>
      <c r="M55" s="9">
        <f t="shared" si="11"/>
        <v>3000</v>
      </c>
      <c r="N55" s="9">
        <f t="shared" si="2"/>
        <v>4500</v>
      </c>
      <c r="O55" s="7">
        <f t="shared" si="3"/>
        <v>7500</v>
      </c>
    </row>
    <row r="56" spans="4:15" x14ac:dyDescent="0.3">
      <c r="D56" s="19"/>
      <c r="E56" s="9" t="s">
        <v>18</v>
      </c>
      <c r="F56" s="8">
        <f t="shared" ref="F56" si="210">O55</f>
        <v>7500</v>
      </c>
      <c r="G56" s="5">
        <f t="shared" ref="G56" si="211">$G$8</f>
        <v>2</v>
      </c>
      <c r="H56" s="9">
        <v>3000</v>
      </c>
      <c r="I56" s="9">
        <f t="shared" si="7"/>
        <v>6000</v>
      </c>
      <c r="J56" s="8">
        <f t="shared" si="8"/>
        <v>6000</v>
      </c>
      <c r="K56" s="8">
        <f t="shared" ref="K56" si="212">J55*$O$5</f>
        <v>1500</v>
      </c>
      <c r="L56" s="8">
        <f t="shared" ref="L56" si="213">(J56*$O$5)</f>
        <v>3000</v>
      </c>
      <c r="M56" s="9">
        <f t="shared" si="11"/>
        <v>1500</v>
      </c>
      <c r="N56" s="9">
        <f t="shared" si="2"/>
        <v>4500</v>
      </c>
      <c r="O56" s="7">
        <f t="shared" si="3"/>
        <v>6000</v>
      </c>
    </row>
    <row r="57" spans="4:15" x14ac:dyDescent="0.3">
      <c r="D57" s="19">
        <f t="shared" ref="D57" si="214">N57+N58</f>
        <v>9000</v>
      </c>
      <c r="E57" s="9" t="s">
        <v>17</v>
      </c>
      <c r="F57" s="8">
        <f t="shared" ref="F57" si="215">IF(G57=4,O56, IF(G57=3,O56*75%, IF(G57=2,O56*50%, IF(G57=1,O56*25%))))</f>
        <v>3000</v>
      </c>
      <c r="G57" s="5">
        <f t="shared" ref="G57" si="216">$G$7</f>
        <v>2</v>
      </c>
      <c r="H57" s="9">
        <v>3000</v>
      </c>
      <c r="I57" s="9">
        <f t="shared" si="7"/>
        <v>6000</v>
      </c>
      <c r="J57" s="8">
        <f t="shared" si="8"/>
        <v>3000</v>
      </c>
      <c r="K57" s="8">
        <f t="shared" ref="K57" si="217">J56*$L$5</f>
        <v>3000</v>
      </c>
      <c r="L57" s="8">
        <f t="shared" ref="L57" si="218">(J57*$L$5)</f>
        <v>1500</v>
      </c>
      <c r="M57" s="9">
        <f t="shared" si="11"/>
        <v>3000</v>
      </c>
      <c r="N57" s="9">
        <f t="shared" si="2"/>
        <v>4500</v>
      </c>
      <c r="O57" s="7">
        <f t="shared" si="3"/>
        <v>7500</v>
      </c>
    </row>
    <row r="58" spans="4:15" x14ac:dyDescent="0.3">
      <c r="D58" s="19"/>
      <c r="E58" s="9" t="s">
        <v>18</v>
      </c>
      <c r="F58" s="8">
        <f t="shared" ref="F58" si="219">O57</f>
        <v>7500</v>
      </c>
      <c r="G58" s="5">
        <f t="shared" ref="G58" si="220">$G$8</f>
        <v>2</v>
      </c>
      <c r="H58" s="9">
        <v>3000</v>
      </c>
      <c r="I58" s="9">
        <f t="shared" si="7"/>
        <v>6000</v>
      </c>
      <c r="J58" s="8">
        <f t="shared" si="8"/>
        <v>6000</v>
      </c>
      <c r="K58" s="8">
        <f t="shared" ref="K58" si="221">J57*$O$5</f>
        <v>1500</v>
      </c>
      <c r="L58" s="8">
        <f t="shared" ref="L58" si="222">(J58*$O$5)</f>
        <v>3000</v>
      </c>
      <c r="M58" s="9">
        <f t="shared" si="11"/>
        <v>1500</v>
      </c>
      <c r="N58" s="9">
        <f t="shared" si="2"/>
        <v>4500</v>
      </c>
      <c r="O58" s="7">
        <f t="shared" si="3"/>
        <v>6000</v>
      </c>
    </row>
    <row r="59" spans="4:15" x14ac:dyDescent="0.3">
      <c r="D59" s="19">
        <f t="shared" ref="D59" si="223">N59+N60</f>
        <v>9000</v>
      </c>
      <c r="E59" s="9" t="s">
        <v>17</v>
      </c>
      <c r="F59" s="8">
        <f t="shared" ref="F59" si="224">IF(G59=4,O58, IF(G59=3,O58*75%, IF(G59=2,O58*50%, IF(G59=1,O58*25%))))</f>
        <v>3000</v>
      </c>
      <c r="G59" s="5">
        <f t="shared" ref="G59" si="225">$G$7</f>
        <v>2</v>
      </c>
      <c r="H59" s="9">
        <v>3000</v>
      </c>
      <c r="I59" s="9">
        <f t="shared" si="7"/>
        <v>6000</v>
      </c>
      <c r="J59" s="8">
        <f t="shared" si="8"/>
        <v>3000</v>
      </c>
      <c r="K59" s="8">
        <f t="shared" ref="K59" si="226">J58*$L$5</f>
        <v>3000</v>
      </c>
      <c r="L59" s="8">
        <f t="shared" ref="L59" si="227">(J59*$L$5)</f>
        <v>1500</v>
      </c>
      <c r="M59" s="9">
        <f t="shared" si="11"/>
        <v>3000</v>
      </c>
      <c r="N59" s="9">
        <f t="shared" si="2"/>
        <v>4500</v>
      </c>
      <c r="O59" s="7">
        <f t="shared" si="3"/>
        <v>7500</v>
      </c>
    </row>
    <row r="60" spans="4:15" x14ac:dyDescent="0.3">
      <c r="D60" s="19"/>
      <c r="E60" s="9" t="s">
        <v>18</v>
      </c>
      <c r="F60" s="8">
        <f t="shared" ref="F60" si="228">O59</f>
        <v>7500</v>
      </c>
      <c r="G60" s="5">
        <f t="shared" ref="G60" si="229">$G$8</f>
        <v>2</v>
      </c>
      <c r="H60" s="9">
        <v>3000</v>
      </c>
      <c r="I60" s="9">
        <f t="shared" si="7"/>
        <v>6000</v>
      </c>
      <c r="J60" s="8">
        <f t="shared" si="8"/>
        <v>6000</v>
      </c>
      <c r="K60" s="8">
        <f t="shared" ref="K60" si="230">J59*$O$5</f>
        <v>1500</v>
      </c>
      <c r="L60" s="8">
        <f t="shared" ref="L60" si="231">(J60*$O$5)</f>
        <v>3000</v>
      </c>
      <c r="M60" s="9">
        <f t="shared" si="11"/>
        <v>1500</v>
      </c>
      <c r="N60" s="9">
        <f t="shared" si="2"/>
        <v>4500</v>
      </c>
      <c r="O60" s="7">
        <f t="shared" si="3"/>
        <v>6000</v>
      </c>
    </row>
    <row r="61" spans="4:15" x14ac:dyDescent="0.3">
      <c r="D61" s="19">
        <f t="shared" ref="D61" si="232">N61+N62</f>
        <v>9000</v>
      </c>
      <c r="E61" s="9" t="s">
        <v>17</v>
      </c>
      <c r="F61" s="8">
        <f t="shared" ref="F61" si="233">IF(G61=4,O60, IF(G61=3,O60*75%, IF(G61=2,O60*50%, IF(G61=1,O60*25%))))</f>
        <v>3000</v>
      </c>
      <c r="G61" s="5">
        <f t="shared" ref="G61" si="234">$G$7</f>
        <v>2</v>
      </c>
      <c r="H61" s="9">
        <v>3000</v>
      </c>
      <c r="I61" s="9">
        <f t="shared" si="7"/>
        <v>6000</v>
      </c>
      <c r="J61" s="8">
        <f t="shared" si="8"/>
        <v>3000</v>
      </c>
      <c r="K61" s="8">
        <f t="shared" ref="K61" si="235">J60*$L$5</f>
        <v>3000</v>
      </c>
      <c r="L61" s="8">
        <f t="shared" ref="L61" si="236">(J61*$L$5)</f>
        <v>1500</v>
      </c>
      <c r="M61" s="9">
        <f t="shared" si="11"/>
        <v>3000</v>
      </c>
      <c r="N61" s="9">
        <f t="shared" si="2"/>
        <v>4500</v>
      </c>
      <c r="O61" s="7">
        <f t="shared" si="3"/>
        <v>7500</v>
      </c>
    </row>
    <row r="62" spans="4:15" x14ac:dyDescent="0.3">
      <c r="D62" s="19"/>
      <c r="E62" s="9" t="s">
        <v>18</v>
      </c>
      <c r="F62" s="8">
        <f t="shared" ref="F62" si="237">O61</f>
        <v>7500</v>
      </c>
      <c r="G62" s="5">
        <f t="shared" ref="G62" si="238">$G$8</f>
        <v>2</v>
      </c>
      <c r="H62" s="9">
        <v>3000</v>
      </c>
      <c r="I62" s="9">
        <f t="shared" si="7"/>
        <v>6000</v>
      </c>
      <c r="J62" s="8">
        <f t="shared" si="8"/>
        <v>6000</v>
      </c>
      <c r="K62" s="8">
        <f t="shared" ref="K62" si="239">J61*$O$5</f>
        <v>1500</v>
      </c>
      <c r="L62" s="8">
        <f t="shared" ref="L62" si="240">(J62*$O$5)</f>
        <v>3000</v>
      </c>
      <c r="M62" s="9">
        <f t="shared" si="11"/>
        <v>1500</v>
      </c>
      <c r="N62" s="9">
        <f t="shared" si="2"/>
        <v>4500</v>
      </c>
      <c r="O62" s="7">
        <f t="shared" si="3"/>
        <v>6000</v>
      </c>
    </row>
    <row r="63" spans="4:15" x14ac:dyDescent="0.3">
      <c r="D63" s="19">
        <f t="shared" ref="D63" si="241">N63+N64</f>
        <v>9000</v>
      </c>
      <c r="E63" s="9" t="s">
        <v>17</v>
      </c>
      <c r="F63" s="8">
        <f t="shared" ref="F63" si="242">IF(G63=4,O62, IF(G63=3,O62*75%, IF(G63=2,O62*50%, IF(G63=1,O62*25%))))</f>
        <v>3000</v>
      </c>
      <c r="G63" s="5">
        <f t="shared" ref="G63" si="243">$G$7</f>
        <v>2</v>
      </c>
      <c r="H63" s="9">
        <v>3000</v>
      </c>
      <c r="I63" s="9">
        <f t="shared" si="7"/>
        <v>6000</v>
      </c>
      <c r="J63" s="8">
        <f t="shared" si="8"/>
        <v>3000</v>
      </c>
      <c r="K63" s="8">
        <f t="shared" ref="K63" si="244">J62*$L$5</f>
        <v>3000</v>
      </c>
      <c r="L63" s="8">
        <f t="shared" ref="L63" si="245">(J63*$L$5)</f>
        <v>1500</v>
      </c>
      <c r="M63" s="9">
        <f t="shared" si="11"/>
        <v>3000</v>
      </c>
      <c r="N63" s="9">
        <f t="shared" si="2"/>
        <v>4500</v>
      </c>
      <c r="O63" s="7">
        <f t="shared" si="3"/>
        <v>7500</v>
      </c>
    </row>
    <row r="64" spans="4:15" x14ac:dyDescent="0.3">
      <c r="D64" s="19"/>
      <c r="E64" s="9" t="s">
        <v>18</v>
      </c>
      <c r="F64" s="8">
        <f t="shared" ref="F64" si="246">O63</f>
        <v>7500</v>
      </c>
      <c r="G64" s="5">
        <f t="shared" ref="G64" si="247">$G$8</f>
        <v>2</v>
      </c>
      <c r="H64" s="9">
        <v>3000</v>
      </c>
      <c r="I64" s="9">
        <f t="shared" si="7"/>
        <v>6000</v>
      </c>
      <c r="J64" s="8">
        <f t="shared" si="8"/>
        <v>6000</v>
      </c>
      <c r="K64" s="8">
        <f t="shared" ref="K64" si="248">J63*$O$5</f>
        <v>1500</v>
      </c>
      <c r="L64" s="8">
        <f t="shared" ref="L64" si="249">(J64*$O$5)</f>
        <v>3000</v>
      </c>
      <c r="M64" s="9">
        <f t="shared" si="11"/>
        <v>1500</v>
      </c>
      <c r="N64" s="9">
        <f t="shared" si="2"/>
        <v>4500</v>
      </c>
      <c r="O64" s="7">
        <f t="shared" si="3"/>
        <v>6000</v>
      </c>
    </row>
    <row r="65" spans="4:15" x14ac:dyDescent="0.3">
      <c r="D65" s="19">
        <f t="shared" ref="D65" si="250">N65+N66</f>
        <v>9000</v>
      </c>
      <c r="E65" s="9" t="s">
        <v>17</v>
      </c>
      <c r="F65" s="8">
        <f t="shared" ref="F65" si="251">IF(G65=4,O64, IF(G65=3,O64*75%, IF(G65=2,O64*50%, IF(G65=1,O64*25%))))</f>
        <v>3000</v>
      </c>
      <c r="G65" s="5">
        <f t="shared" ref="G65" si="252">$G$7</f>
        <v>2</v>
      </c>
      <c r="H65" s="9">
        <v>3000</v>
      </c>
      <c r="I65" s="9">
        <f t="shared" si="7"/>
        <v>6000</v>
      </c>
      <c r="J65" s="8">
        <f t="shared" si="8"/>
        <v>3000</v>
      </c>
      <c r="K65" s="8">
        <f t="shared" ref="K65" si="253">J64*$L$5</f>
        <v>3000</v>
      </c>
      <c r="L65" s="8">
        <f t="shared" ref="L65" si="254">(J65*$L$5)</f>
        <v>1500</v>
      </c>
      <c r="M65" s="9">
        <f t="shared" si="11"/>
        <v>3000</v>
      </c>
      <c r="N65" s="9">
        <f t="shared" si="2"/>
        <v>4500</v>
      </c>
      <c r="O65" s="7">
        <f t="shared" si="3"/>
        <v>7500</v>
      </c>
    </row>
    <row r="66" spans="4:15" x14ac:dyDescent="0.3">
      <c r="D66" s="19"/>
      <c r="E66" s="9" t="s">
        <v>18</v>
      </c>
      <c r="F66" s="8">
        <f t="shared" ref="F66" si="255">O65</f>
        <v>7500</v>
      </c>
      <c r="G66" s="5">
        <f t="shared" ref="G66" si="256">$G$8</f>
        <v>2</v>
      </c>
      <c r="H66" s="9">
        <v>3000</v>
      </c>
      <c r="I66" s="9">
        <f t="shared" si="7"/>
        <v>6000</v>
      </c>
      <c r="J66" s="8">
        <f t="shared" si="8"/>
        <v>6000</v>
      </c>
      <c r="K66" s="8">
        <f t="shared" ref="K66" si="257">J65*$O$5</f>
        <v>1500</v>
      </c>
      <c r="L66" s="8">
        <f t="shared" ref="L66" si="258">(J66*$O$5)</f>
        <v>3000</v>
      </c>
      <c r="M66" s="9">
        <f t="shared" si="11"/>
        <v>1500</v>
      </c>
      <c r="N66" s="9">
        <f t="shared" si="2"/>
        <v>4500</v>
      </c>
      <c r="O66" s="7">
        <f t="shared" si="3"/>
        <v>6000</v>
      </c>
    </row>
    <row r="67" spans="4:15" x14ac:dyDescent="0.3">
      <c r="D67" s="19">
        <f t="shared" ref="D67" si="259">N67+N68</f>
        <v>9000</v>
      </c>
      <c r="E67" s="9" t="s">
        <v>17</v>
      </c>
      <c r="F67" s="8">
        <f t="shared" ref="F67" si="260">IF(G67=4,O66, IF(G67=3,O66*75%, IF(G67=2,O66*50%, IF(G67=1,O66*25%))))</f>
        <v>3000</v>
      </c>
      <c r="G67" s="5">
        <f t="shared" ref="G67" si="261">$G$7</f>
        <v>2</v>
      </c>
      <c r="H67" s="9">
        <v>3000</v>
      </c>
      <c r="I67" s="9">
        <f t="shared" si="7"/>
        <v>6000</v>
      </c>
      <c r="J67" s="8">
        <f t="shared" si="8"/>
        <v>3000</v>
      </c>
      <c r="K67" s="8">
        <f t="shared" ref="K67" si="262">J66*$L$5</f>
        <v>3000</v>
      </c>
      <c r="L67" s="8">
        <f t="shared" ref="L67" si="263">(J67*$L$5)</f>
        <v>1500</v>
      </c>
      <c r="M67" s="9">
        <f t="shared" si="11"/>
        <v>3000</v>
      </c>
      <c r="N67" s="9">
        <f t="shared" si="2"/>
        <v>4500</v>
      </c>
      <c r="O67" s="7">
        <f t="shared" si="3"/>
        <v>7500</v>
      </c>
    </row>
    <row r="68" spans="4:15" x14ac:dyDescent="0.3">
      <c r="D68" s="19"/>
      <c r="E68" s="9" t="s">
        <v>18</v>
      </c>
      <c r="F68" s="8">
        <f t="shared" ref="F68" si="264">O67</f>
        <v>7500</v>
      </c>
      <c r="G68" s="5">
        <f t="shared" ref="G68" si="265">$G$8</f>
        <v>2</v>
      </c>
      <c r="H68" s="9">
        <v>3000</v>
      </c>
      <c r="I68" s="9">
        <f t="shared" si="7"/>
        <v>6000</v>
      </c>
      <c r="J68" s="8">
        <f t="shared" si="8"/>
        <v>6000</v>
      </c>
      <c r="K68" s="8">
        <f t="shared" ref="K68" si="266">J67*$O$5</f>
        <v>1500</v>
      </c>
      <c r="L68" s="8">
        <f t="shared" ref="L68" si="267">(J68*$O$5)</f>
        <v>3000</v>
      </c>
      <c r="M68" s="9">
        <f t="shared" si="11"/>
        <v>1500</v>
      </c>
      <c r="N68" s="9">
        <f t="shared" si="2"/>
        <v>4500</v>
      </c>
      <c r="O68" s="7">
        <f t="shared" si="3"/>
        <v>6000</v>
      </c>
    </row>
    <row r="69" spans="4:15" x14ac:dyDescent="0.3">
      <c r="D69" s="19">
        <f t="shared" ref="D69" si="268">N69+N70</f>
        <v>9000</v>
      </c>
      <c r="E69" s="9" t="s">
        <v>17</v>
      </c>
      <c r="F69" s="8">
        <f t="shared" ref="F69" si="269">IF(G69=4,O68, IF(G69=3,O68*75%, IF(G69=2,O68*50%, IF(G69=1,O68*25%))))</f>
        <v>3000</v>
      </c>
      <c r="G69" s="5">
        <f t="shared" ref="G69" si="270">$G$7</f>
        <v>2</v>
      </c>
      <c r="H69" s="9">
        <v>3000</v>
      </c>
      <c r="I69" s="9">
        <f t="shared" si="7"/>
        <v>6000</v>
      </c>
      <c r="J69" s="8">
        <f t="shared" si="8"/>
        <v>3000</v>
      </c>
      <c r="K69" s="8">
        <f t="shared" ref="K69" si="271">J68*$L$5</f>
        <v>3000</v>
      </c>
      <c r="L69" s="8">
        <f t="shared" ref="L69" si="272">(J69*$L$5)</f>
        <v>1500</v>
      </c>
      <c r="M69" s="9">
        <f t="shared" si="11"/>
        <v>3000</v>
      </c>
      <c r="N69" s="9">
        <f t="shared" si="2"/>
        <v>4500</v>
      </c>
      <c r="O69" s="7">
        <f t="shared" si="3"/>
        <v>7500</v>
      </c>
    </row>
    <row r="70" spans="4:15" x14ac:dyDescent="0.3">
      <c r="D70" s="19"/>
      <c r="E70" s="9" t="s">
        <v>18</v>
      </c>
      <c r="F70" s="8">
        <f t="shared" ref="F70" si="273">O69</f>
        <v>7500</v>
      </c>
      <c r="G70" s="5">
        <f t="shared" ref="G70" si="274">$G$8</f>
        <v>2</v>
      </c>
      <c r="H70" s="9">
        <v>3000</v>
      </c>
      <c r="I70" s="9">
        <f t="shared" si="7"/>
        <v>6000</v>
      </c>
      <c r="J70" s="8">
        <f t="shared" si="8"/>
        <v>6000</v>
      </c>
      <c r="K70" s="8">
        <f t="shared" ref="K70" si="275">J69*$O$5</f>
        <v>1500</v>
      </c>
      <c r="L70" s="8">
        <f t="shared" ref="L70" si="276">(J70*$O$5)</f>
        <v>3000</v>
      </c>
      <c r="M70" s="9">
        <f t="shared" si="11"/>
        <v>1500</v>
      </c>
      <c r="N70" s="9">
        <f t="shared" si="2"/>
        <v>4500</v>
      </c>
      <c r="O70" s="7">
        <f t="shared" si="3"/>
        <v>6000</v>
      </c>
    </row>
    <row r="71" spans="4:15" x14ac:dyDescent="0.3">
      <c r="D71" s="19">
        <f t="shared" ref="D71" si="277">N71+N72</f>
        <v>9000</v>
      </c>
      <c r="E71" s="9" t="s">
        <v>17</v>
      </c>
      <c r="F71" s="8">
        <f t="shared" ref="F71" si="278">IF(G71=4,O70, IF(G71=3,O70*75%, IF(G71=2,O70*50%, IF(G71=1,O70*25%))))</f>
        <v>3000</v>
      </c>
      <c r="G71" s="5">
        <f t="shared" ref="G71" si="279">$G$7</f>
        <v>2</v>
      </c>
      <c r="H71" s="9">
        <v>3000</v>
      </c>
      <c r="I71" s="9">
        <f t="shared" si="7"/>
        <v>6000</v>
      </c>
      <c r="J71" s="8">
        <f t="shared" si="8"/>
        <v>3000</v>
      </c>
      <c r="K71" s="8">
        <f t="shared" ref="K71" si="280">J70*$L$5</f>
        <v>3000</v>
      </c>
      <c r="L71" s="8">
        <f t="shared" ref="L71" si="281">(J71*$L$5)</f>
        <v>1500</v>
      </c>
      <c r="M71" s="9">
        <f t="shared" si="11"/>
        <v>3000</v>
      </c>
      <c r="N71" s="9">
        <f t="shared" si="2"/>
        <v>4500</v>
      </c>
      <c r="O71" s="7">
        <f t="shared" si="3"/>
        <v>7500</v>
      </c>
    </row>
    <row r="72" spans="4:15" x14ac:dyDescent="0.3">
      <c r="D72" s="19"/>
      <c r="E72" s="9" t="s">
        <v>18</v>
      </c>
      <c r="F72" s="8">
        <f t="shared" ref="F72" si="282">O71</f>
        <v>7500</v>
      </c>
      <c r="G72" s="5">
        <f t="shared" ref="G72" si="283">$G$8</f>
        <v>2</v>
      </c>
      <c r="H72" s="9">
        <v>3000</v>
      </c>
      <c r="I72" s="9">
        <f t="shared" si="7"/>
        <v>6000</v>
      </c>
      <c r="J72" s="8">
        <f t="shared" si="8"/>
        <v>6000</v>
      </c>
      <c r="K72" s="8">
        <f t="shared" ref="K72" si="284">J71*$O$5</f>
        <v>1500</v>
      </c>
      <c r="L72" s="8">
        <f t="shared" ref="L72" si="285">(J72*$O$5)</f>
        <v>3000</v>
      </c>
      <c r="M72" s="9">
        <f t="shared" si="11"/>
        <v>1500</v>
      </c>
      <c r="N72" s="9">
        <f t="shared" si="2"/>
        <v>4500</v>
      </c>
      <c r="O72" s="7">
        <f t="shared" si="3"/>
        <v>6000</v>
      </c>
    </row>
    <row r="73" spans="4:15" x14ac:dyDescent="0.3">
      <c r="D73" s="19">
        <f t="shared" ref="D73" si="286">N73+N74</f>
        <v>9000</v>
      </c>
      <c r="E73" s="9" t="s">
        <v>17</v>
      </c>
      <c r="F73" s="8">
        <f t="shared" ref="F73" si="287">IF(G73=4,O72, IF(G73=3,O72*75%, IF(G73=2,O72*50%, IF(G73=1,O72*25%))))</f>
        <v>3000</v>
      </c>
      <c r="G73" s="5">
        <f t="shared" ref="G73" si="288">$G$7</f>
        <v>2</v>
      </c>
      <c r="H73" s="9">
        <v>3000</v>
      </c>
      <c r="I73" s="9">
        <f t="shared" si="7"/>
        <v>6000</v>
      </c>
      <c r="J73" s="8">
        <f t="shared" si="8"/>
        <v>3000</v>
      </c>
      <c r="K73" s="8">
        <f t="shared" ref="K73" si="289">J72*$L$5</f>
        <v>3000</v>
      </c>
      <c r="L73" s="8">
        <f t="shared" ref="L73" si="290">(J73*$L$5)</f>
        <v>1500</v>
      </c>
      <c r="M73" s="9">
        <f t="shared" si="11"/>
        <v>3000</v>
      </c>
      <c r="N73" s="9">
        <f t="shared" ref="N73:N82" si="291">L73+M73</f>
        <v>4500</v>
      </c>
      <c r="O73" s="7">
        <f t="shared" ref="O73:O82" si="292">$B$4-(J73+K73)+N73</f>
        <v>7500</v>
      </c>
    </row>
    <row r="74" spans="4:15" x14ac:dyDescent="0.3">
      <c r="D74" s="19"/>
      <c r="E74" s="9" t="s">
        <v>18</v>
      </c>
      <c r="F74" s="8">
        <f t="shared" ref="F74" si="293">O73</f>
        <v>7500</v>
      </c>
      <c r="G74" s="5">
        <f t="shared" ref="G74" si="294">$G$8</f>
        <v>2</v>
      </c>
      <c r="H74" s="9">
        <v>3000</v>
      </c>
      <c r="I74" s="9">
        <f t="shared" si="7"/>
        <v>6000</v>
      </c>
      <c r="J74" s="8">
        <f t="shared" si="8"/>
        <v>6000</v>
      </c>
      <c r="K74" s="8">
        <f t="shared" ref="K74" si="295">J73*$O$5</f>
        <v>1500</v>
      </c>
      <c r="L74" s="8">
        <f t="shared" ref="L74" si="296">(J74*$O$5)</f>
        <v>3000</v>
      </c>
      <c r="M74" s="9">
        <f t="shared" si="11"/>
        <v>1500</v>
      </c>
      <c r="N74" s="9">
        <f t="shared" si="291"/>
        <v>4500</v>
      </c>
      <c r="O74" s="7">
        <f t="shared" si="292"/>
        <v>6000</v>
      </c>
    </row>
    <row r="75" spans="4:15" x14ac:dyDescent="0.3">
      <c r="D75" s="19">
        <f t="shared" ref="D75" si="297">N75+N76</f>
        <v>9000</v>
      </c>
      <c r="E75" s="9" t="s">
        <v>17</v>
      </c>
      <c r="F75" s="8">
        <f t="shared" ref="F75" si="298">IF(G75=4,O74, IF(G75=3,O74*75%, IF(G75=2,O74*50%, IF(G75=1,O74*25%))))</f>
        <v>3000</v>
      </c>
      <c r="G75" s="5">
        <f t="shared" ref="G75" si="299">$G$7</f>
        <v>2</v>
      </c>
      <c r="H75" s="9">
        <v>3000</v>
      </c>
      <c r="I75" s="9">
        <f t="shared" ref="I75:I82" si="300">H75*G75</f>
        <v>6000</v>
      </c>
      <c r="J75" s="8">
        <f t="shared" ref="J75:J82" si="301">IF(F75&lt;I75,F75,I75)</f>
        <v>3000</v>
      </c>
      <c r="K75" s="8">
        <f t="shared" ref="K75" si="302">J74*$L$5</f>
        <v>3000</v>
      </c>
      <c r="L75" s="8">
        <f t="shared" ref="L75" si="303">(J75*$L$5)</f>
        <v>1500</v>
      </c>
      <c r="M75" s="9">
        <f t="shared" ref="M75:M82" si="304">K75</f>
        <v>3000</v>
      </c>
      <c r="N75" s="9">
        <f t="shared" si="291"/>
        <v>4500</v>
      </c>
      <c r="O75" s="7">
        <f t="shared" si="292"/>
        <v>7500</v>
      </c>
    </row>
    <row r="76" spans="4:15" x14ac:dyDescent="0.3">
      <c r="D76" s="19"/>
      <c r="E76" s="9" t="s">
        <v>18</v>
      </c>
      <c r="F76" s="8">
        <f t="shared" ref="F76" si="305">O75</f>
        <v>7500</v>
      </c>
      <c r="G76" s="5">
        <f t="shared" ref="G76" si="306">$G$8</f>
        <v>2</v>
      </c>
      <c r="H76" s="9">
        <v>3000</v>
      </c>
      <c r="I76" s="9">
        <f t="shared" si="300"/>
        <v>6000</v>
      </c>
      <c r="J76" s="8">
        <f t="shared" si="301"/>
        <v>6000</v>
      </c>
      <c r="K76" s="8">
        <f t="shared" ref="K76" si="307">J75*$O$5</f>
        <v>1500</v>
      </c>
      <c r="L76" s="8">
        <f t="shared" ref="L76" si="308">(J76*$O$5)</f>
        <v>3000</v>
      </c>
      <c r="M76" s="9">
        <f t="shared" si="304"/>
        <v>1500</v>
      </c>
      <c r="N76" s="9">
        <f t="shared" si="291"/>
        <v>4500</v>
      </c>
      <c r="O76" s="7">
        <f t="shared" si="292"/>
        <v>6000</v>
      </c>
    </row>
    <row r="77" spans="4:15" x14ac:dyDescent="0.3">
      <c r="D77" s="19">
        <f t="shared" ref="D77" si="309">N77+N78</f>
        <v>9000</v>
      </c>
      <c r="E77" s="9" t="s">
        <v>17</v>
      </c>
      <c r="F77" s="8">
        <f t="shared" ref="F77" si="310">IF(G77=4,O76, IF(G77=3,O76*75%, IF(G77=2,O76*50%, IF(G77=1,O76*25%))))</f>
        <v>3000</v>
      </c>
      <c r="G77" s="5">
        <f t="shared" ref="G77" si="311">$G$7</f>
        <v>2</v>
      </c>
      <c r="H77" s="9">
        <v>3000</v>
      </c>
      <c r="I77" s="9">
        <f t="shared" si="300"/>
        <v>6000</v>
      </c>
      <c r="J77" s="8">
        <f t="shared" si="301"/>
        <v>3000</v>
      </c>
      <c r="K77" s="8">
        <f t="shared" ref="K77" si="312">J76*$L$5</f>
        <v>3000</v>
      </c>
      <c r="L77" s="8">
        <f t="shared" ref="L77" si="313">(J77*$L$5)</f>
        <v>1500</v>
      </c>
      <c r="M77" s="9">
        <f t="shared" si="304"/>
        <v>3000</v>
      </c>
      <c r="N77" s="9">
        <f t="shared" si="291"/>
        <v>4500</v>
      </c>
      <c r="O77" s="7">
        <f t="shared" si="292"/>
        <v>7500</v>
      </c>
    </row>
    <row r="78" spans="4:15" x14ac:dyDescent="0.3">
      <c r="D78" s="19"/>
      <c r="E78" s="9" t="s">
        <v>18</v>
      </c>
      <c r="F78" s="8">
        <f t="shared" ref="F78" si="314">O77</f>
        <v>7500</v>
      </c>
      <c r="G78" s="5">
        <f t="shared" ref="G78" si="315">$G$8</f>
        <v>2</v>
      </c>
      <c r="H78" s="9">
        <v>3000</v>
      </c>
      <c r="I78" s="9">
        <f t="shared" si="300"/>
        <v>6000</v>
      </c>
      <c r="J78" s="8">
        <f t="shared" si="301"/>
        <v>6000</v>
      </c>
      <c r="K78" s="8">
        <f t="shared" ref="K78" si="316">J77*$O$5</f>
        <v>1500</v>
      </c>
      <c r="L78" s="8">
        <f t="shared" ref="L78" si="317">(J78*$O$5)</f>
        <v>3000</v>
      </c>
      <c r="M78" s="9">
        <f t="shared" si="304"/>
        <v>1500</v>
      </c>
      <c r="N78" s="9">
        <f t="shared" si="291"/>
        <v>4500</v>
      </c>
      <c r="O78" s="7">
        <f t="shared" si="292"/>
        <v>6000</v>
      </c>
    </row>
    <row r="79" spans="4:15" x14ac:dyDescent="0.3">
      <c r="D79" s="19">
        <f t="shared" ref="D79" si="318">N79+N80</f>
        <v>9000</v>
      </c>
      <c r="E79" s="9" t="s">
        <v>17</v>
      </c>
      <c r="F79" s="8">
        <f t="shared" ref="F79" si="319">IF(G79=4,O78, IF(G79=3,O78*75%, IF(G79=2,O78*50%, IF(G79=1,O78*25%))))</f>
        <v>3000</v>
      </c>
      <c r="G79" s="5">
        <f t="shared" ref="G79" si="320">$G$7</f>
        <v>2</v>
      </c>
      <c r="H79" s="9">
        <v>3000</v>
      </c>
      <c r="I79" s="9">
        <f t="shared" si="300"/>
        <v>6000</v>
      </c>
      <c r="J79" s="8">
        <f t="shared" si="301"/>
        <v>3000</v>
      </c>
      <c r="K79" s="8">
        <f t="shared" ref="K79" si="321">J78*$L$5</f>
        <v>3000</v>
      </c>
      <c r="L79" s="8">
        <f t="shared" ref="L79" si="322">(J79*$L$5)</f>
        <v>1500</v>
      </c>
      <c r="M79" s="9">
        <f t="shared" si="304"/>
        <v>3000</v>
      </c>
      <c r="N79" s="9">
        <f t="shared" si="291"/>
        <v>4500</v>
      </c>
      <c r="O79" s="7">
        <f t="shared" si="292"/>
        <v>7500</v>
      </c>
    </row>
    <row r="80" spans="4:15" x14ac:dyDescent="0.3">
      <c r="D80" s="19"/>
      <c r="E80" s="9" t="s">
        <v>18</v>
      </c>
      <c r="F80" s="8">
        <f t="shared" ref="F80" si="323">O79</f>
        <v>7500</v>
      </c>
      <c r="G80" s="5">
        <f t="shared" ref="G80" si="324">$G$8</f>
        <v>2</v>
      </c>
      <c r="H80" s="9">
        <v>3000</v>
      </c>
      <c r="I80" s="9">
        <f t="shared" si="300"/>
        <v>6000</v>
      </c>
      <c r="J80" s="8">
        <f t="shared" si="301"/>
        <v>6000</v>
      </c>
      <c r="K80" s="8">
        <f t="shared" ref="K80" si="325">J79*$O$5</f>
        <v>1500</v>
      </c>
      <c r="L80" s="8">
        <f t="shared" ref="L80" si="326">(J80*$O$5)</f>
        <v>3000</v>
      </c>
      <c r="M80" s="9">
        <f t="shared" si="304"/>
        <v>1500</v>
      </c>
      <c r="N80" s="9">
        <f t="shared" si="291"/>
        <v>4500</v>
      </c>
      <c r="O80" s="7">
        <f t="shared" si="292"/>
        <v>6000</v>
      </c>
    </row>
    <row r="81" spans="4:15" x14ac:dyDescent="0.3">
      <c r="D81" s="19">
        <f t="shared" ref="D81" si="327">N81+N82</f>
        <v>9000</v>
      </c>
      <c r="E81" s="9" t="s">
        <v>17</v>
      </c>
      <c r="F81" s="8">
        <f t="shared" ref="F81" si="328">IF(G81=4,O80, IF(G81=3,O80*75%, IF(G81=2,O80*50%, IF(G81=1,O80*25%))))</f>
        <v>3000</v>
      </c>
      <c r="G81" s="5">
        <f t="shared" ref="G81" si="329">$G$7</f>
        <v>2</v>
      </c>
      <c r="H81" s="9">
        <v>3000</v>
      </c>
      <c r="I81" s="9">
        <f t="shared" si="300"/>
        <v>6000</v>
      </c>
      <c r="J81" s="8">
        <f t="shared" si="301"/>
        <v>3000</v>
      </c>
      <c r="K81" s="8">
        <f t="shared" ref="K81" si="330">J80*$L$5</f>
        <v>3000</v>
      </c>
      <c r="L81" s="8">
        <f t="shared" ref="L81" si="331">(J81*$L$5)</f>
        <v>1500</v>
      </c>
      <c r="M81" s="9">
        <f t="shared" si="304"/>
        <v>3000</v>
      </c>
      <c r="N81" s="9">
        <f t="shared" si="291"/>
        <v>4500</v>
      </c>
      <c r="O81" s="7">
        <f t="shared" si="292"/>
        <v>7500</v>
      </c>
    </row>
    <row r="82" spans="4:15" x14ac:dyDescent="0.3">
      <c r="D82" s="19"/>
      <c r="E82" s="9" t="s">
        <v>18</v>
      </c>
      <c r="F82" s="8">
        <f t="shared" ref="F82" si="332">O81</f>
        <v>7500</v>
      </c>
      <c r="G82" s="5">
        <f t="shared" ref="G82" si="333">$G$8</f>
        <v>2</v>
      </c>
      <c r="H82" s="9">
        <v>3000</v>
      </c>
      <c r="I82" s="9">
        <f t="shared" si="300"/>
        <v>6000</v>
      </c>
      <c r="J82" s="8">
        <f t="shared" si="301"/>
        <v>6000</v>
      </c>
      <c r="K82" s="8">
        <f t="shared" ref="K82" si="334">J81*$O$5</f>
        <v>1500</v>
      </c>
      <c r="L82" s="8">
        <f t="shared" ref="L82" si="335">(J82*$O$5)</f>
        <v>3000</v>
      </c>
      <c r="M82" s="9">
        <f t="shared" si="304"/>
        <v>1500</v>
      </c>
      <c r="N82" s="9">
        <f t="shared" si="291"/>
        <v>4500</v>
      </c>
      <c r="O82" s="7">
        <f t="shared" si="292"/>
        <v>6000</v>
      </c>
    </row>
  </sheetData>
  <mergeCells count="38">
    <mergeCell ref="D79:D80"/>
    <mergeCell ref="D81:D82"/>
    <mergeCell ref="D67:D68"/>
    <mergeCell ref="D69:D70"/>
    <mergeCell ref="D71:D72"/>
    <mergeCell ref="D73:D74"/>
    <mergeCell ref="D75:D76"/>
    <mergeCell ref="D77:D78"/>
    <mergeCell ref="D65:D66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41:D42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17:D18"/>
    <mergeCell ref="D7:D8"/>
    <mergeCell ref="D9:D10"/>
    <mergeCell ref="D11:D12"/>
    <mergeCell ref="D13:D14"/>
    <mergeCell ref="D15:D1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B2D01-87E2-47AA-AB1B-B1DC8CB98CCA}">
  <dimension ref="A1:O82"/>
  <sheetViews>
    <sheetView tabSelected="1" workbookViewId="0">
      <selection activeCell="A3" sqref="A3"/>
    </sheetView>
  </sheetViews>
  <sheetFormatPr defaultRowHeight="14.4" x14ac:dyDescent="0.3"/>
  <cols>
    <col min="1" max="1" width="29.33203125" bestFit="1" customWidth="1"/>
    <col min="3" max="3" width="14.33203125" bestFit="1" customWidth="1"/>
    <col min="4" max="4" width="11.109375" bestFit="1" customWidth="1"/>
    <col min="5" max="5" width="7.109375" bestFit="1" customWidth="1"/>
    <col min="6" max="6" width="24.33203125" bestFit="1" customWidth="1"/>
    <col min="7" max="7" width="16" bestFit="1" customWidth="1"/>
    <col min="8" max="8" width="24.109375" customWidth="1"/>
    <col min="9" max="9" width="26.33203125" bestFit="1" customWidth="1"/>
    <col min="10" max="12" width="9.33203125" bestFit="1" customWidth="1"/>
    <col min="13" max="13" width="13.44140625" bestFit="1" customWidth="1"/>
    <col min="14" max="14" width="9.5546875" bestFit="1" customWidth="1"/>
    <col min="15" max="15" width="30.5546875" bestFit="1" customWidth="1"/>
  </cols>
  <sheetData>
    <row r="1" spans="1:15" x14ac:dyDescent="0.3">
      <c r="A1" t="s">
        <v>30</v>
      </c>
      <c r="B1" t="s">
        <v>31</v>
      </c>
    </row>
    <row r="2" spans="1:15" x14ac:dyDescent="0.3">
      <c r="A2" t="s">
        <v>0</v>
      </c>
      <c r="B2" s="15">
        <v>2</v>
      </c>
      <c r="C2" t="s">
        <v>1</v>
      </c>
    </row>
    <row r="3" spans="1:15" x14ac:dyDescent="0.3">
      <c r="A3" t="s">
        <v>2</v>
      </c>
      <c r="B3" s="15">
        <f>1.175/2</f>
        <v>0.58750000000000002</v>
      </c>
      <c r="C3" t="s">
        <v>3</v>
      </c>
    </row>
    <row r="4" spans="1:15" x14ac:dyDescent="0.3">
      <c r="A4" t="s">
        <v>4</v>
      </c>
      <c r="B4">
        <f>(B2*3600)/B3</f>
        <v>12255.319148936169</v>
      </c>
      <c r="C4" t="s">
        <v>5</v>
      </c>
      <c r="L4" s="2">
        <v>1</v>
      </c>
      <c r="M4" s="2"/>
      <c r="N4" s="2"/>
      <c r="O4" s="3"/>
    </row>
    <row r="5" spans="1:15" x14ac:dyDescent="0.3">
      <c r="L5" s="17">
        <v>0.5</v>
      </c>
      <c r="M5" s="2"/>
      <c r="N5" s="2"/>
      <c r="O5" s="2">
        <f>L4-L5</f>
        <v>0.5</v>
      </c>
    </row>
    <row r="6" spans="1:15" x14ac:dyDescent="0.3">
      <c r="D6" s="4" t="s">
        <v>6</v>
      </c>
      <c r="E6" s="4"/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15" x14ac:dyDescent="0.3">
      <c r="C7" t="s">
        <v>19</v>
      </c>
      <c r="D7" s="19">
        <f>N7+N8</f>
        <v>17377.659574468085</v>
      </c>
      <c r="E7" s="5" t="s">
        <v>17</v>
      </c>
      <c r="F7" s="7">
        <f>B4</f>
        <v>12255.319148936169</v>
      </c>
      <c r="G7" s="16">
        <v>5</v>
      </c>
      <c r="H7" s="16">
        <v>3000</v>
      </c>
      <c r="I7" s="6">
        <f>H7*G7</f>
        <v>15000</v>
      </c>
      <c r="J7" s="5">
        <f>H7*G7</f>
        <v>15000</v>
      </c>
      <c r="K7" s="5">
        <v>0</v>
      </c>
      <c r="L7" s="5">
        <f>(J7*$L$5)</f>
        <v>7500</v>
      </c>
      <c r="M7" s="5">
        <f>K7</f>
        <v>0</v>
      </c>
      <c r="N7" s="5">
        <f>L7+M7</f>
        <v>7500</v>
      </c>
      <c r="O7" s="7">
        <f>$B$4-($O$5*J7)-K7</f>
        <v>4755.3191489361689</v>
      </c>
    </row>
    <row r="8" spans="1:15" x14ac:dyDescent="0.3">
      <c r="C8" t="s">
        <v>19</v>
      </c>
      <c r="D8" s="19"/>
      <c r="E8" s="5" t="s">
        <v>18</v>
      </c>
      <c r="F8" s="8">
        <f>IF(G8=$B$14,O7,IF(G8=($B$14-1),O7*($B$14-1)*$B$13,IF(G8=($B$14-2),O7*($B$14-2)*$B$13,IF(G8=($B$14-3),O7*($B$14-3)*$B$13,IF(G8=($B$14-4),O7*($B$14-4)*$B$13,IF(G8=($B$14-5),O7*($B$14-5)*$B$13,IF(G8=($B$14-6),O7*($B$14-6)*$B$13)))))))</f>
        <v>4755.3191489361689</v>
      </c>
      <c r="G8" s="16">
        <v>5</v>
      </c>
      <c r="H8" s="16">
        <v>3000</v>
      </c>
      <c r="I8" s="6">
        <f>H8*G8</f>
        <v>15000</v>
      </c>
      <c r="J8" s="5">
        <f>IF(F8&lt;I8,F8,I8)</f>
        <v>4755.3191489361689</v>
      </c>
      <c r="K8" s="5">
        <f>J7*$O$5</f>
        <v>7500</v>
      </c>
      <c r="L8" s="5">
        <f>J8*$O$5</f>
        <v>2377.6595744680844</v>
      </c>
      <c r="M8" s="5">
        <f>K8</f>
        <v>7500</v>
      </c>
      <c r="N8" s="5">
        <f>L8+M8</f>
        <v>9877.6595744680853</v>
      </c>
      <c r="O8" s="7">
        <f>$B$4-(J8+K8)+N8</f>
        <v>9877.6595744680853</v>
      </c>
    </row>
    <row r="9" spans="1:15" x14ac:dyDescent="0.3">
      <c r="D9" s="19">
        <f t="shared" ref="D9" si="0">N9+N10</f>
        <v>15913.563829787232</v>
      </c>
      <c r="E9" s="8" t="s">
        <v>17</v>
      </c>
      <c r="F9" s="8">
        <f>IF(G9=$B$14,O8,IF(G9=($B$14-1),O8*($B$14-1)*$B$13,IF(G9=($B$14-2),O8*($B$14-2)*$B$13,IF(G9=($B$14-3),O8*($B$14-3)*$B$13,IF(G9=($B$14-4),O8*($B$14-4)*$B$13,IF(G9=($B$14-5),O8*($B$14-5)*$B$13,IF(G9=($B$14-6),O8*($B$14-6)*$B$13)))))))</f>
        <v>9877.6595744680853</v>
      </c>
      <c r="G9" s="5">
        <f>$G$7</f>
        <v>5</v>
      </c>
      <c r="H9" s="8">
        <f>$H$7</f>
        <v>3000</v>
      </c>
      <c r="I9" s="8">
        <f>H9*G9</f>
        <v>15000</v>
      </c>
      <c r="J9" s="8">
        <f>IF(F9&lt;I9,F9,I9)</f>
        <v>9877.6595744680853</v>
      </c>
      <c r="K9" s="8">
        <f>J8*$L$5</f>
        <v>2377.6595744680844</v>
      </c>
      <c r="L9" s="8">
        <f t="shared" ref="L9" si="1">(J9*$L$5)</f>
        <v>4938.8297872340427</v>
      </c>
      <c r="M9" s="8">
        <f>K9</f>
        <v>2377.6595744680844</v>
      </c>
      <c r="N9" s="8">
        <f t="shared" ref="N9:N72" si="2">L9+M9</f>
        <v>7316.4893617021271</v>
      </c>
      <c r="O9" s="7">
        <f t="shared" ref="O9:O72" si="3">$B$4-(J9+K9)+N9</f>
        <v>7316.4893617021253</v>
      </c>
    </row>
    <row r="10" spans="1:15" x14ac:dyDescent="0.3">
      <c r="D10" s="19"/>
      <c r="E10" s="8" t="s">
        <v>18</v>
      </c>
      <c r="F10" s="8">
        <f t="shared" ref="F10:F73" si="4">IF(G10=$B$14,O9,IF(G10=($B$14-1),O9*($B$14-1)*$B$13,IF(G10=($B$14-2),O9*($B$14-2)*$B$13,IF(G10=($B$14-3),O9*($B$14-3)*$B$13,IF(G10=($B$14-4),O9*($B$14-4)*$B$13,IF(G10=($B$14-5),O9*($B$14-5)*$B$13,IF(G10=($B$14-6),O9*($B$14-6)*$B$13)))))))</f>
        <v>7316.4893617021253</v>
      </c>
      <c r="G10" s="5">
        <f>$G$8</f>
        <v>5</v>
      </c>
      <c r="H10" s="8">
        <f>$H$8</f>
        <v>3000</v>
      </c>
      <c r="I10" s="8">
        <f>H10*G10</f>
        <v>15000</v>
      </c>
      <c r="J10" s="8">
        <f>IF(F10&lt;I10,F10,I10)</f>
        <v>7316.4893617021253</v>
      </c>
      <c r="K10" s="8">
        <f>J9*$O$5</f>
        <v>4938.8297872340427</v>
      </c>
      <c r="L10" s="8">
        <f>(J10*$O$5)</f>
        <v>3658.2446808510626</v>
      </c>
      <c r="M10" s="8">
        <f>K10</f>
        <v>4938.8297872340427</v>
      </c>
      <c r="N10" s="8">
        <f t="shared" si="2"/>
        <v>8597.0744680851058</v>
      </c>
      <c r="O10" s="7">
        <f t="shared" si="3"/>
        <v>8597.0744680851076</v>
      </c>
    </row>
    <row r="11" spans="1:15" ht="14.25" customHeight="1" x14ac:dyDescent="0.3">
      <c r="A11" t="s">
        <v>21</v>
      </c>
      <c r="B11">
        <f>B4</f>
        <v>12255.319148936169</v>
      </c>
      <c r="D11" s="19">
        <f t="shared" ref="D11" si="5">N11+N12</f>
        <v>16233.710106382978</v>
      </c>
      <c r="E11" s="9" t="s">
        <v>17</v>
      </c>
      <c r="F11" s="8">
        <f t="shared" si="4"/>
        <v>8597.0744680851076</v>
      </c>
      <c r="G11" s="5">
        <f t="shared" ref="G11" si="6">$G$7</f>
        <v>5</v>
      </c>
      <c r="H11" s="8">
        <f t="shared" ref="H11" si="7">$H$7</f>
        <v>3000</v>
      </c>
      <c r="I11" s="9">
        <f t="shared" ref="I11:I74" si="8">H11*G11</f>
        <v>15000</v>
      </c>
      <c r="J11" s="8">
        <f t="shared" ref="J11:J74" si="9">IF(F11&lt;I11,F11,I11)</f>
        <v>8597.0744680851076</v>
      </c>
      <c r="K11" s="8">
        <f t="shared" ref="K11" si="10">J10*$L$5</f>
        <v>3658.2446808510626</v>
      </c>
      <c r="L11" s="8">
        <f t="shared" ref="L11" si="11">(J11*$L$5)</f>
        <v>4298.5372340425538</v>
      </c>
      <c r="M11" s="9">
        <f t="shared" ref="M11:M74" si="12">K11</f>
        <v>3658.2446808510626</v>
      </c>
      <c r="N11" s="9">
        <f t="shared" si="2"/>
        <v>7956.781914893616</v>
      </c>
      <c r="O11" s="7">
        <f t="shared" si="3"/>
        <v>7956.7819148936142</v>
      </c>
    </row>
    <row r="12" spans="1:15" x14ac:dyDescent="0.3">
      <c r="A12" t="s">
        <v>22</v>
      </c>
      <c r="B12">
        <f>H7</f>
        <v>3000</v>
      </c>
      <c r="D12" s="19"/>
      <c r="E12" s="9" t="s">
        <v>18</v>
      </c>
      <c r="F12" s="8">
        <f t="shared" si="4"/>
        <v>7956.7819148936142</v>
      </c>
      <c r="G12" s="5">
        <f t="shared" ref="G12" si="13">$G$8</f>
        <v>5</v>
      </c>
      <c r="H12" s="8">
        <f t="shared" ref="H12" si="14">$H$8</f>
        <v>3000</v>
      </c>
      <c r="I12" s="9">
        <f t="shared" si="8"/>
        <v>15000</v>
      </c>
      <c r="J12" s="8">
        <f t="shared" si="9"/>
        <v>7956.7819148936142</v>
      </c>
      <c r="K12" s="8">
        <f t="shared" ref="K12" si="15">J11*$O$5</f>
        <v>4298.5372340425538</v>
      </c>
      <c r="L12" s="8">
        <f t="shared" ref="L12" si="16">(J12*$O$5)</f>
        <v>3978.3909574468071</v>
      </c>
      <c r="M12" s="9">
        <f t="shared" si="12"/>
        <v>4298.5372340425538</v>
      </c>
      <c r="N12" s="9">
        <f t="shared" si="2"/>
        <v>8276.9281914893618</v>
      </c>
      <c r="O12" s="7">
        <f t="shared" si="3"/>
        <v>8276.9281914893636</v>
      </c>
    </row>
    <row r="13" spans="1:15" x14ac:dyDescent="0.3">
      <c r="A13" t="s">
        <v>23</v>
      </c>
      <c r="B13" s="10">
        <f>B12/B11</f>
        <v>0.24479166666666669</v>
      </c>
      <c r="D13" s="19">
        <f t="shared" ref="D13" si="17">N13+N14</f>
        <v>16313.746675531915</v>
      </c>
      <c r="E13" s="9" t="s">
        <v>17</v>
      </c>
      <c r="F13" s="8">
        <f t="shared" si="4"/>
        <v>8276.9281914893636</v>
      </c>
      <c r="G13" s="5">
        <f t="shared" ref="G13" si="18">$G$7</f>
        <v>5</v>
      </c>
      <c r="H13" s="8">
        <f t="shared" ref="H13" si="19">$H$7</f>
        <v>3000</v>
      </c>
      <c r="I13" s="9">
        <f t="shared" si="8"/>
        <v>15000</v>
      </c>
      <c r="J13" s="8">
        <f t="shared" si="9"/>
        <v>8276.9281914893636</v>
      </c>
      <c r="K13" s="8">
        <f t="shared" ref="K13" si="20">J12*$L$5</f>
        <v>3978.3909574468071</v>
      </c>
      <c r="L13" s="8">
        <f t="shared" ref="L13" si="21">(J13*$L$5)</f>
        <v>4138.4640957446818</v>
      </c>
      <c r="M13" s="9">
        <f t="shared" si="12"/>
        <v>3978.3909574468071</v>
      </c>
      <c r="N13" s="9">
        <f t="shared" si="2"/>
        <v>8116.8550531914889</v>
      </c>
      <c r="O13" s="7">
        <f t="shared" si="3"/>
        <v>8116.8550531914871</v>
      </c>
    </row>
    <row r="14" spans="1:15" x14ac:dyDescent="0.3">
      <c r="A14" t="s">
        <v>24</v>
      </c>
      <c r="B14" s="14">
        <f>ROUNDUP(B11/B12,0)</f>
        <v>5</v>
      </c>
      <c r="D14" s="19"/>
      <c r="E14" s="9" t="s">
        <v>18</v>
      </c>
      <c r="F14" s="8">
        <f t="shared" si="4"/>
        <v>8116.8550531914871</v>
      </c>
      <c r="G14" s="5">
        <f t="shared" ref="G14" si="22">$G$8</f>
        <v>5</v>
      </c>
      <c r="H14" s="8">
        <f t="shared" ref="H14" si="23">$H$8</f>
        <v>3000</v>
      </c>
      <c r="I14" s="9">
        <f t="shared" si="8"/>
        <v>15000</v>
      </c>
      <c r="J14" s="8">
        <f t="shared" si="9"/>
        <v>8116.8550531914871</v>
      </c>
      <c r="K14" s="8">
        <f t="shared" ref="K14" si="24">J13*$O$5</f>
        <v>4138.4640957446818</v>
      </c>
      <c r="L14" s="8">
        <f t="shared" ref="L14" si="25">(J14*$O$5)</f>
        <v>4058.4275265957435</v>
      </c>
      <c r="M14" s="9">
        <f t="shared" si="12"/>
        <v>4138.4640957446818</v>
      </c>
      <c r="N14" s="9">
        <f t="shared" si="2"/>
        <v>8196.8916223404249</v>
      </c>
      <c r="O14" s="7">
        <f t="shared" si="3"/>
        <v>8196.8916223404249</v>
      </c>
    </row>
    <row r="15" spans="1:15" x14ac:dyDescent="0.3">
      <c r="D15" s="19">
        <f t="shared" ref="D15" si="26">N15+N16</f>
        <v>16333.755817819147</v>
      </c>
      <c r="E15" s="9" t="s">
        <v>17</v>
      </c>
      <c r="F15" s="8">
        <f t="shared" si="4"/>
        <v>8196.8916223404249</v>
      </c>
      <c r="G15" s="5">
        <f t="shared" ref="G15" si="27">$G$7</f>
        <v>5</v>
      </c>
      <c r="H15" s="8">
        <f t="shared" ref="H15" si="28">$H$7</f>
        <v>3000</v>
      </c>
      <c r="I15" s="9">
        <f t="shared" si="8"/>
        <v>15000</v>
      </c>
      <c r="J15" s="8">
        <f t="shared" si="9"/>
        <v>8196.8916223404249</v>
      </c>
      <c r="K15" s="8">
        <f t="shared" ref="K15" si="29">J14*$L$5</f>
        <v>4058.4275265957435</v>
      </c>
      <c r="L15" s="8">
        <f t="shared" ref="L15" si="30">(J15*$L$5)</f>
        <v>4098.4458111702124</v>
      </c>
      <c r="M15" s="9">
        <f t="shared" si="12"/>
        <v>4058.4275265957435</v>
      </c>
      <c r="N15" s="9">
        <f t="shared" si="2"/>
        <v>8156.8733377659555</v>
      </c>
      <c r="O15" s="7">
        <f t="shared" si="3"/>
        <v>8156.8733377659555</v>
      </c>
    </row>
    <row r="16" spans="1:15" x14ac:dyDescent="0.3">
      <c r="D16" s="19"/>
      <c r="E16" s="9" t="s">
        <v>18</v>
      </c>
      <c r="F16" s="8">
        <f t="shared" si="4"/>
        <v>8156.8733377659555</v>
      </c>
      <c r="G16" s="5">
        <f t="shared" ref="G16" si="31">$G$8</f>
        <v>5</v>
      </c>
      <c r="H16" s="8">
        <f t="shared" ref="H16" si="32">$H$8</f>
        <v>3000</v>
      </c>
      <c r="I16" s="9">
        <f t="shared" si="8"/>
        <v>15000</v>
      </c>
      <c r="J16" s="8">
        <f t="shared" si="9"/>
        <v>8156.8733377659555</v>
      </c>
      <c r="K16" s="8">
        <f t="shared" ref="K16" si="33">J15*$O$5</f>
        <v>4098.4458111702124</v>
      </c>
      <c r="L16" s="8">
        <f t="shared" ref="L16" si="34">(J16*$O$5)</f>
        <v>4078.4366688829778</v>
      </c>
      <c r="M16" s="9">
        <f t="shared" si="12"/>
        <v>4098.4458111702124</v>
      </c>
      <c r="N16" s="9">
        <f t="shared" si="2"/>
        <v>8176.8824800531902</v>
      </c>
      <c r="O16" s="7">
        <f t="shared" si="3"/>
        <v>8176.882480053192</v>
      </c>
    </row>
    <row r="17" spans="1:15" x14ac:dyDescent="0.3">
      <c r="D17" s="19">
        <f t="shared" ref="D17" si="35">N17+N18</f>
        <v>16338.758103390956</v>
      </c>
      <c r="E17" s="9" t="s">
        <v>17</v>
      </c>
      <c r="F17" s="8">
        <f t="shared" si="4"/>
        <v>8176.882480053192</v>
      </c>
      <c r="G17" s="5">
        <f t="shared" ref="G17" si="36">$G$7</f>
        <v>5</v>
      </c>
      <c r="H17" s="8">
        <f t="shared" ref="H17" si="37">$H$7</f>
        <v>3000</v>
      </c>
      <c r="I17" s="9">
        <f t="shared" si="8"/>
        <v>15000</v>
      </c>
      <c r="J17" s="8">
        <f t="shared" si="9"/>
        <v>8176.882480053192</v>
      </c>
      <c r="K17" s="8">
        <f t="shared" ref="K17" si="38">J16*$L$5</f>
        <v>4078.4366688829778</v>
      </c>
      <c r="L17" s="8">
        <f t="shared" ref="L17" si="39">(J17*$L$5)</f>
        <v>4088.441240026596</v>
      </c>
      <c r="M17" s="9">
        <f t="shared" si="12"/>
        <v>4078.4366688829778</v>
      </c>
      <c r="N17" s="9">
        <f t="shared" si="2"/>
        <v>8166.8779089095733</v>
      </c>
      <c r="O17" s="7">
        <f t="shared" si="3"/>
        <v>8166.8779089095715</v>
      </c>
    </row>
    <row r="18" spans="1:15" x14ac:dyDescent="0.3">
      <c r="D18" s="19"/>
      <c r="E18" s="9" t="s">
        <v>18</v>
      </c>
      <c r="F18" s="8">
        <f t="shared" si="4"/>
        <v>8166.8779089095715</v>
      </c>
      <c r="G18" s="5">
        <f t="shared" ref="G18" si="40">$G$8</f>
        <v>5</v>
      </c>
      <c r="H18" s="8">
        <f t="shared" ref="H18" si="41">$H$8</f>
        <v>3000</v>
      </c>
      <c r="I18" s="9">
        <f t="shared" si="8"/>
        <v>15000</v>
      </c>
      <c r="J18" s="8">
        <f t="shared" si="9"/>
        <v>8166.8779089095715</v>
      </c>
      <c r="K18" s="8">
        <f t="shared" ref="K18" si="42">J17*$O$5</f>
        <v>4088.441240026596</v>
      </c>
      <c r="L18" s="8">
        <f t="shared" ref="L18" si="43">(J18*$O$5)</f>
        <v>4083.4389544547857</v>
      </c>
      <c r="M18" s="9">
        <f t="shared" si="12"/>
        <v>4088.441240026596</v>
      </c>
      <c r="N18" s="9">
        <f t="shared" si="2"/>
        <v>8171.8801944813822</v>
      </c>
      <c r="O18" s="7">
        <f t="shared" si="3"/>
        <v>8171.880194481384</v>
      </c>
    </row>
    <row r="19" spans="1:15" x14ac:dyDescent="0.3">
      <c r="A19" s="11" t="s">
        <v>27</v>
      </c>
      <c r="D19" s="19">
        <f t="shared" ref="D19" si="44">N19+N20</f>
        <v>16340.008674783909</v>
      </c>
      <c r="E19" s="9" t="s">
        <v>17</v>
      </c>
      <c r="F19" s="8">
        <f t="shared" si="4"/>
        <v>8171.880194481384</v>
      </c>
      <c r="G19" s="5">
        <f t="shared" ref="G19" si="45">$G$7</f>
        <v>5</v>
      </c>
      <c r="H19" s="8">
        <f t="shared" ref="H19" si="46">$H$7</f>
        <v>3000</v>
      </c>
      <c r="I19" s="9">
        <f t="shared" si="8"/>
        <v>15000</v>
      </c>
      <c r="J19" s="8">
        <f t="shared" si="9"/>
        <v>8171.880194481384</v>
      </c>
      <c r="K19" s="8">
        <f t="shared" ref="K19" si="47">J18*$L$5</f>
        <v>4083.4389544547857</v>
      </c>
      <c r="L19" s="8">
        <f t="shared" ref="L19" si="48">(J19*$L$5)</f>
        <v>4085.940097240692</v>
      </c>
      <c r="M19" s="9">
        <f t="shared" si="12"/>
        <v>4083.4389544547857</v>
      </c>
      <c r="N19" s="9">
        <f t="shared" si="2"/>
        <v>8169.3790516954778</v>
      </c>
      <c r="O19" s="7">
        <f t="shared" si="3"/>
        <v>8169.3790516954759</v>
      </c>
    </row>
    <row r="20" spans="1:15" x14ac:dyDescent="0.3">
      <c r="A20" s="12">
        <f>D19/I7</f>
        <v>1.0893339116522607</v>
      </c>
      <c r="D20" s="19"/>
      <c r="E20" s="9" t="s">
        <v>18</v>
      </c>
      <c r="F20" s="8">
        <f t="shared" si="4"/>
        <v>8169.3790516954759</v>
      </c>
      <c r="G20" s="5">
        <f t="shared" ref="G20" si="49">$G$8</f>
        <v>5</v>
      </c>
      <c r="H20" s="8">
        <f t="shared" ref="H20" si="50">$H$8</f>
        <v>3000</v>
      </c>
      <c r="I20" s="9">
        <f t="shared" si="8"/>
        <v>15000</v>
      </c>
      <c r="J20" s="8">
        <f t="shared" si="9"/>
        <v>8169.3790516954759</v>
      </c>
      <c r="K20" s="8">
        <f t="shared" ref="K20" si="51">J19*$O$5</f>
        <v>4085.940097240692</v>
      </c>
      <c r="L20" s="8">
        <f t="shared" ref="L20" si="52">(J20*$O$5)</f>
        <v>4084.689525847738</v>
      </c>
      <c r="M20" s="9">
        <f t="shared" si="12"/>
        <v>4085.940097240692</v>
      </c>
      <c r="N20" s="9">
        <f t="shared" si="2"/>
        <v>8170.62962308843</v>
      </c>
      <c r="O20" s="7">
        <f t="shared" si="3"/>
        <v>8170.6296230884318</v>
      </c>
    </row>
    <row r="21" spans="1:15" x14ac:dyDescent="0.3">
      <c r="D21" s="19">
        <f t="shared" ref="D21" si="53">N21+N22</f>
        <v>16340.321317632146</v>
      </c>
      <c r="E21" s="9" t="s">
        <v>17</v>
      </c>
      <c r="F21" s="8">
        <f t="shared" si="4"/>
        <v>8170.6296230884318</v>
      </c>
      <c r="G21" s="5">
        <f t="shared" ref="G21" si="54">$G$7</f>
        <v>5</v>
      </c>
      <c r="H21" s="8">
        <f t="shared" ref="H21" si="55">$H$7</f>
        <v>3000</v>
      </c>
      <c r="I21" s="9">
        <f t="shared" si="8"/>
        <v>15000</v>
      </c>
      <c r="J21" s="8">
        <f t="shared" si="9"/>
        <v>8170.6296230884318</v>
      </c>
      <c r="K21" s="8">
        <f t="shared" ref="K21" si="56">J20*$L$5</f>
        <v>4084.689525847738</v>
      </c>
      <c r="L21" s="8">
        <f t="shared" ref="L21" si="57">(J21*$L$5)</f>
        <v>4085.3148115442159</v>
      </c>
      <c r="M21" s="9">
        <f t="shared" si="12"/>
        <v>4084.689525847738</v>
      </c>
      <c r="N21" s="9">
        <f t="shared" si="2"/>
        <v>8170.0043373919543</v>
      </c>
      <c r="O21" s="7">
        <f t="shared" si="3"/>
        <v>8170.0043373919525</v>
      </c>
    </row>
    <row r="22" spans="1:15" x14ac:dyDescent="0.3">
      <c r="A22" t="s">
        <v>25</v>
      </c>
      <c r="C22" s="13">
        <f>D21</f>
        <v>16340.321317632146</v>
      </c>
      <c r="D22" s="19"/>
      <c r="E22" s="9" t="s">
        <v>18</v>
      </c>
      <c r="F22" s="8">
        <f t="shared" si="4"/>
        <v>8170.0043373919525</v>
      </c>
      <c r="G22" s="5">
        <f t="shared" ref="G22" si="58">$G$8</f>
        <v>5</v>
      </c>
      <c r="H22" s="8">
        <f t="shared" ref="H22" si="59">$H$8</f>
        <v>3000</v>
      </c>
      <c r="I22" s="9">
        <f t="shared" si="8"/>
        <v>15000</v>
      </c>
      <c r="J22" s="8">
        <f t="shared" si="9"/>
        <v>8170.0043373919525</v>
      </c>
      <c r="K22" s="8">
        <f t="shared" ref="K22" si="60">J21*$O$5</f>
        <v>4085.3148115442159</v>
      </c>
      <c r="L22" s="8">
        <f t="shared" ref="L22" si="61">(J22*$O$5)</f>
        <v>4085.0021686959763</v>
      </c>
      <c r="M22" s="9">
        <f t="shared" si="12"/>
        <v>4085.3148115442159</v>
      </c>
      <c r="N22" s="9">
        <f t="shared" si="2"/>
        <v>8170.3169802401917</v>
      </c>
      <c r="O22" s="7">
        <f t="shared" si="3"/>
        <v>8170.3169802401917</v>
      </c>
    </row>
    <row r="23" spans="1:15" x14ac:dyDescent="0.3">
      <c r="A23" t="s">
        <v>28</v>
      </c>
      <c r="B23" s="18">
        <v>0.15</v>
      </c>
      <c r="C23" s="14">
        <f>C22/(100%+B23)</f>
        <v>14208.975058810563</v>
      </c>
      <c r="D23" s="19">
        <f t="shared" ref="D23" si="62">N23+N24</f>
        <v>16340.399478344205</v>
      </c>
      <c r="E23" s="9" t="s">
        <v>17</v>
      </c>
      <c r="F23" s="8">
        <f t="shared" si="4"/>
        <v>8170.3169802401917</v>
      </c>
      <c r="G23" s="5">
        <f t="shared" ref="G23" si="63">$G$7</f>
        <v>5</v>
      </c>
      <c r="H23" s="8">
        <f t="shared" ref="H23" si="64">$H$7</f>
        <v>3000</v>
      </c>
      <c r="I23" s="9">
        <f t="shared" si="8"/>
        <v>15000</v>
      </c>
      <c r="J23" s="8">
        <f t="shared" si="9"/>
        <v>8170.3169802401917</v>
      </c>
      <c r="K23" s="8">
        <f t="shared" ref="K23" si="65">J22*$L$5</f>
        <v>4085.0021686959763</v>
      </c>
      <c r="L23" s="8">
        <f t="shared" ref="L23" si="66">(J23*$L$5)</f>
        <v>4085.1584901200958</v>
      </c>
      <c r="M23" s="9">
        <f t="shared" si="12"/>
        <v>4085.0021686959763</v>
      </c>
      <c r="N23" s="9">
        <f t="shared" si="2"/>
        <v>8170.1606588160721</v>
      </c>
      <c r="O23" s="7">
        <f t="shared" si="3"/>
        <v>8170.1606588160739</v>
      </c>
    </row>
    <row r="24" spans="1:15" x14ac:dyDescent="0.3">
      <c r="A24" t="s">
        <v>26</v>
      </c>
      <c r="B24" s="18">
        <v>0.18</v>
      </c>
      <c r="C24" s="14">
        <f>C23/(100%+B24)</f>
        <v>12041.504287127596</v>
      </c>
      <c r="D24" s="19"/>
      <c r="E24" s="9" t="s">
        <v>18</v>
      </c>
      <c r="F24" s="8">
        <f t="shared" si="4"/>
        <v>8170.1606588160739</v>
      </c>
      <c r="G24" s="5">
        <f t="shared" ref="G24" si="67">$G$8</f>
        <v>5</v>
      </c>
      <c r="H24" s="8">
        <f t="shared" ref="H24" si="68">$H$8</f>
        <v>3000</v>
      </c>
      <c r="I24" s="9">
        <f t="shared" si="8"/>
        <v>15000</v>
      </c>
      <c r="J24" s="8">
        <f t="shared" si="9"/>
        <v>8170.1606588160739</v>
      </c>
      <c r="K24" s="8">
        <f t="shared" ref="K24" si="69">J23*$O$5</f>
        <v>4085.1584901200958</v>
      </c>
      <c r="L24" s="8">
        <f t="shared" ref="L24" si="70">(J24*$O$5)</f>
        <v>4085.080329408037</v>
      </c>
      <c r="M24" s="9">
        <f t="shared" si="12"/>
        <v>4085.1584901200958</v>
      </c>
      <c r="N24" s="9">
        <f t="shared" si="2"/>
        <v>8170.2388195281328</v>
      </c>
      <c r="O24" s="7">
        <f t="shared" si="3"/>
        <v>8170.238819528131</v>
      </c>
    </row>
    <row r="25" spans="1:15" x14ac:dyDescent="0.3">
      <c r="A25" t="s">
        <v>29</v>
      </c>
      <c r="C25">
        <f>C24/A20</f>
        <v>11054.006634993577</v>
      </c>
      <c r="D25" s="19">
        <f t="shared" ref="D25" si="71">N25+N26</f>
        <v>16340.419018522221</v>
      </c>
      <c r="E25" s="9" t="s">
        <v>17</v>
      </c>
      <c r="F25" s="8">
        <f t="shared" si="4"/>
        <v>8170.238819528131</v>
      </c>
      <c r="G25" s="5">
        <f t="shared" ref="G25" si="72">$G$7</f>
        <v>5</v>
      </c>
      <c r="H25" s="8">
        <f t="shared" ref="H25" si="73">$H$7</f>
        <v>3000</v>
      </c>
      <c r="I25" s="9">
        <f t="shared" si="8"/>
        <v>15000</v>
      </c>
      <c r="J25" s="8">
        <f t="shared" si="9"/>
        <v>8170.238819528131</v>
      </c>
      <c r="K25" s="8">
        <f t="shared" ref="K25" si="74">J24*$L$5</f>
        <v>4085.080329408037</v>
      </c>
      <c r="L25" s="8">
        <f t="shared" ref="L25" si="75">(J25*$L$5)</f>
        <v>4085.1194097640655</v>
      </c>
      <c r="M25" s="9">
        <f t="shared" si="12"/>
        <v>4085.080329408037</v>
      </c>
      <c r="N25" s="9">
        <f t="shared" si="2"/>
        <v>8170.1997391721025</v>
      </c>
      <c r="O25" s="7">
        <f t="shared" si="3"/>
        <v>8170.1997391721043</v>
      </c>
    </row>
    <row r="26" spans="1:15" x14ac:dyDescent="0.3">
      <c r="D26" s="19"/>
      <c r="E26" s="9" t="s">
        <v>18</v>
      </c>
      <c r="F26" s="8">
        <f t="shared" si="4"/>
        <v>8170.1997391721043</v>
      </c>
      <c r="G26" s="5">
        <f t="shared" ref="G26" si="76">$G$8</f>
        <v>5</v>
      </c>
      <c r="H26" s="8">
        <f t="shared" ref="H26" si="77">$H$8</f>
        <v>3000</v>
      </c>
      <c r="I26" s="9">
        <f t="shared" si="8"/>
        <v>15000</v>
      </c>
      <c r="J26" s="8">
        <f t="shared" si="9"/>
        <v>8170.1997391721043</v>
      </c>
      <c r="K26" s="8">
        <f t="shared" ref="K26" si="78">J25*$O$5</f>
        <v>4085.1194097640655</v>
      </c>
      <c r="L26" s="8">
        <f t="shared" ref="L26" si="79">(J26*$O$5)</f>
        <v>4085.0998695860521</v>
      </c>
      <c r="M26" s="9">
        <f t="shared" si="12"/>
        <v>4085.1194097640655</v>
      </c>
      <c r="N26" s="9">
        <f t="shared" si="2"/>
        <v>8170.2192793501181</v>
      </c>
      <c r="O26" s="7">
        <f t="shared" si="3"/>
        <v>8170.2192793501163</v>
      </c>
    </row>
    <row r="27" spans="1:15" x14ac:dyDescent="0.3">
      <c r="D27" s="19">
        <f t="shared" ref="D27" si="80">N27+N28</f>
        <v>16340.423903566723</v>
      </c>
      <c r="E27" s="9" t="s">
        <v>17</v>
      </c>
      <c r="F27" s="8">
        <f t="shared" si="4"/>
        <v>8170.2192793501163</v>
      </c>
      <c r="G27" s="5">
        <f t="shared" ref="G27" si="81">$G$7</f>
        <v>5</v>
      </c>
      <c r="H27" s="8">
        <f t="shared" ref="H27" si="82">$H$7</f>
        <v>3000</v>
      </c>
      <c r="I27" s="9">
        <f t="shared" si="8"/>
        <v>15000</v>
      </c>
      <c r="J27" s="8">
        <f t="shared" si="9"/>
        <v>8170.2192793501163</v>
      </c>
      <c r="K27" s="8">
        <f t="shared" ref="K27" si="83">J26*$L$5</f>
        <v>4085.0998695860521</v>
      </c>
      <c r="L27" s="8">
        <f t="shared" ref="L27" si="84">(J27*$L$5)</f>
        <v>4085.1096396750581</v>
      </c>
      <c r="M27" s="9">
        <f t="shared" si="12"/>
        <v>4085.0998695860521</v>
      </c>
      <c r="N27" s="9">
        <f t="shared" si="2"/>
        <v>8170.2095092611107</v>
      </c>
      <c r="O27" s="7">
        <f t="shared" si="3"/>
        <v>8170.2095092611107</v>
      </c>
    </row>
    <row r="28" spans="1:15" x14ac:dyDescent="0.3">
      <c r="D28" s="19"/>
      <c r="E28" s="9" t="s">
        <v>18</v>
      </c>
      <c r="F28" s="8">
        <f t="shared" si="4"/>
        <v>8170.2095092611107</v>
      </c>
      <c r="G28" s="5">
        <f t="shared" ref="G28" si="85">$G$8</f>
        <v>5</v>
      </c>
      <c r="H28" s="8">
        <f t="shared" ref="H28" si="86">$H$8</f>
        <v>3000</v>
      </c>
      <c r="I28" s="9">
        <f t="shared" si="8"/>
        <v>15000</v>
      </c>
      <c r="J28" s="8">
        <f t="shared" si="9"/>
        <v>8170.2095092611107</v>
      </c>
      <c r="K28" s="8">
        <f t="shared" ref="K28" si="87">J27*$O$5</f>
        <v>4085.1096396750581</v>
      </c>
      <c r="L28" s="8">
        <f t="shared" ref="L28" si="88">(J28*$O$5)</f>
        <v>4085.1047546305554</v>
      </c>
      <c r="M28" s="9">
        <f t="shared" si="12"/>
        <v>4085.1096396750581</v>
      </c>
      <c r="N28" s="9">
        <f t="shared" si="2"/>
        <v>8170.2143943056135</v>
      </c>
      <c r="O28" s="7">
        <f t="shared" si="3"/>
        <v>8170.2143943056135</v>
      </c>
    </row>
    <row r="29" spans="1:15" x14ac:dyDescent="0.3">
      <c r="D29" s="19">
        <f t="shared" ref="D29" si="89">N29+N30</f>
        <v>16340.425124827849</v>
      </c>
      <c r="E29" s="9" t="s">
        <v>17</v>
      </c>
      <c r="F29" s="8">
        <f t="shared" si="4"/>
        <v>8170.2143943056135</v>
      </c>
      <c r="G29" s="5">
        <f t="shared" ref="G29" si="90">$G$7</f>
        <v>5</v>
      </c>
      <c r="H29" s="8">
        <f t="shared" ref="H29" si="91">$H$7</f>
        <v>3000</v>
      </c>
      <c r="I29" s="9">
        <f t="shared" si="8"/>
        <v>15000</v>
      </c>
      <c r="J29" s="8">
        <f t="shared" si="9"/>
        <v>8170.2143943056135</v>
      </c>
      <c r="K29" s="8">
        <f t="shared" ref="K29" si="92">J28*$L$5</f>
        <v>4085.1047546305554</v>
      </c>
      <c r="L29" s="8">
        <f t="shared" ref="L29" si="93">(J29*$L$5)</f>
        <v>4085.1071971528067</v>
      </c>
      <c r="M29" s="9">
        <f t="shared" si="12"/>
        <v>4085.1047546305554</v>
      </c>
      <c r="N29" s="9">
        <f t="shared" si="2"/>
        <v>8170.2119517833617</v>
      </c>
      <c r="O29" s="7">
        <f t="shared" si="3"/>
        <v>8170.2119517833617</v>
      </c>
    </row>
    <row r="30" spans="1:15" x14ac:dyDescent="0.3">
      <c r="D30" s="19"/>
      <c r="E30" s="9" t="s">
        <v>18</v>
      </c>
      <c r="F30" s="8">
        <f t="shared" si="4"/>
        <v>8170.2119517833617</v>
      </c>
      <c r="G30" s="5">
        <f t="shared" ref="G30" si="94">$G$8</f>
        <v>5</v>
      </c>
      <c r="H30" s="8">
        <f t="shared" ref="H30" si="95">$H$8</f>
        <v>3000</v>
      </c>
      <c r="I30" s="9">
        <f t="shared" si="8"/>
        <v>15000</v>
      </c>
      <c r="J30" s="8">
        <f t="shared" si="9"/>
        <v>8170.2119517833617</v>
      </c>
      <c r="K30" s="8">
        <f t="shared" ref="K30" si="96">J29*$O$5</f>
        <v>4085.1071971528067</v>
      </c>
      <c r="L30" s="8">
        <f t="shared" ref="L30" si="97">(J30*$O$5)</f>
        <v>4085.1059758916808</v>
      </c>
      <c r="M30" s="9">
        <f t="shared" si="12"/>
        <v>4085.1071971528067</v>
      </c>
      <c r="N30" s="9">
        <f t="shared" si="2"/>
        <v>8170.2131730444871</v>
      </c>
      <c r="O30" s="7">
        <f t="shared" si="3"/>
        <v>8170.2131730444871</v>
      </c>
    </row>
    <row r="31" spans="1:15" x14ac:dyDescent="0.3">
      <c r="D31" s="19">
        <f t="shared" ref="D31" si="98">N31+N32</f>
        <v>16340.425430143132</v>
      </c>
      <c r="E31" s="9" t="s">
        <v>17</v>
      </c>
      <c r="F31" s="8">
        <f t="shared" si="4"/>
        <v>8170.2131730444871</v>
      </c>
      <c r="G31" s="5">
        <f t="shared" ref="G31" si="99">$G$7</f>
        <v>5</v>
      </c>
      <c r="H31" s="8">
        <f t="shared" ref="H31" si="100">$H$7</f>
        <v>3000</v>
      </c>
      <c r="I31" s="9">
        <f t="shared" si="8"/>
        <v>15000</v>
      </c>
      <c r="J31" s="8">
        <f t="shared" si="9"/>
        <v>8170.2131730444871</v>
      </c>
      <c r="K31" s="8">
        <f t="shared" ref="K31" si="101">J30*$L$5</f>
        <v>4085.1059758916808</v>
      </c>
      <c r="L31" s="8">
        <f t="shared" ref="L31" si="102">(J31*$L$5)</f>
        <v>4085.1065865222436</v>
      </c>
      <c r="M31" s="9">
        <f t="shared" si="12"/>
        <v>4085.1059758916808</v>
      </c>
      <c r="N31" s="9">
        <f t="shared" si="2"/>
        <v>8170.2125624139244</v>
      </c>
      <c r="O31" s="7">
        <f t="shared" si="3"/>
        <v>8170.2125624139262</v>
      </c>
    </row>
    <row r="32" spans="1:15" x14ac:dyDescent="0.3">
      <c r="D32" s="19"/>
      <c r="E32" s="9" t="s">
        <v>18</v>
      </c>
      <c r="F32" s="8">
        <f t="shared" si="4"/>
        <v>8170.2125624139262</v>
      </c>
      <c r="G32" s="5">
        <f t="shared" ref="G32" si="103">$G$8</f>
        <v>5</v>
      </c>
      <c r="H32" s="8">
        <f t="shared" ref="H32" si="104">$H$8</f>
        <v>3000</v>
      </c>
      <c r="I32" s="9">
        <f t="shared" si="8"/>
        <v>15000</v>
      </c>
      <c r="J32" s="8">
        <f t="shared" si="9"/>
        <v>8170.2125624139262</v>
      </c>
      <c r="K32" s="8">
        <f t="shared" ref="K32" si="105">J31*$O$5</f>
        <v>4085.1065865222436</v>
      </c>
      <c r="L32" s="8">
        <f t="shared" ref="L32" si="106">(J32*$O$5)</f>
        <v>4085.1062812069631</v>
      </c>
      <c r="M32" s="9">
        <f t="shared" si="12"/>
        <v>4085.1065865222436</v>
      </c>
      <c r="N32" s="9">
        <f t="shared" si="2"/>
        <v>8170.2128677292067</v>
      </c>
      <c r="O32" s="7">
        <f t="shared" si="3"/>
        <v>8170.2128677292048</v>
      </c>
    </row>
    <row r="33" spans="4:15" x14ac:dyDescent="0.3">
      <c r="D33" s="19">
        <f t="shared" ref="D33" si="107">N33+N34</f>
        <v>16340.425506471953</v>
      </c>
      <c r="E33" s="9" t="s">
        <v>17</v>
      </c>
      <c r="F33" s="8">
        <f t="shared" si="4"/>
        <v>8170.2128677292048</v>
      </c>
      <c r="G33" s="5">
        <f t="shared" ref="G33" si="108">$G$7</f>
        <v>5</v>
      </c>
      <c r="H33" s="8">
        <f t="shared" ref="H33" si="109">$H$7</f>
        <v>3000</v>
      </c>
      <c r="I33" s="9">
        <f t="shared" si="8"/>
        <v>15000</v>
      </c>
      <c r="J33" s="8">
        <f t="shared" si="9"/>
        <v>8170.2128677292048</v>
      </c>
      <c r="K33" s="8">
        <f t="shared" ref="K33" si="110">J32*$L$5</f>
        <v>4085.1062812069631</v>
      </c>
      <c r="L33" s="8">
        <f t="shared" ref="L33" si="111">(J33*$L$5)</f>
        <v>4085.1064338646024</v>
      </c>
      <c r="M33" s="9">
        <f t="shared" si="12"/>
        <v>4085.1062812069631</v>
      </c>
      <c r="N33" s="9">
        <f t="shared" si="2"/>
        <v>8170.212715071566</v>
      </c>
      <c r="O33" s="7">
        <f t="shared" si="3"/>
        <v>8170.2127150715678</v>
      </c>
    </row>
    <row r="34" spans="4:15" x14ac:dyDescent="0.3">
      <c r="D34" s="19"/>
      <c r="E34" s="9" t="s">
        <v>18</v>
      </c>
      <c r="F34" s="8">
        <f t="shared" si="4"/>
        <v>8170.2127150715678</v>
      </c>
      <c r="G34" s="5">
        <f t="shared" ref="G34" si="112">$G$8</f>
        <v>5</v>
      </c>
      <c r="H34" s="8">
        <f t="shared" ref="H34" si="113">$H$8</f>
        <v>3000</v>
      </c>
      <c r="I34" s="9">
        <f t="shared" si="8"/>
        <v>15000</v>
      </c>
      <c r="J34" s="8">
        <f t="shared" si="9"/>
        <v>8170.2127150715678</v>
      </c>
      <c r="K34" s="8">
        <f t="shared" ref="K34" si="114">J33*$O$5</f>
        <v>4085.1064338646024</v>
      </c>
      <c r="L34" s="8">
        <f t="shared" ref="L34" si="115">(J34*$O$5)</f>
        <v>4085.1063575357839</v>
      </c>
      <c r="M34" s="9">
        <f t="shared" si="12"/>
        <v>4085.1064338646024</v>
      </c>
      <c r="N34" s="9">
        <f t="shared" si="2"/>
        <v>8170.2127914003868</v>
      </c>
      <c r="O34" s="7">
        <f t="shared" si="3"/>
        <v>8170.212791400385</v>
      </c>
    </row>
    <row r="35" spans="4:15" x14ac:dyDescent="0.3">
      <c r="D35" s="19">
        <f t="shared" ref="D35" si="116">N35+N36</f>
        <v>16340.425525554158</v>
      </c>
      <c r="E35" s="9" t="s">
        <v>17</v>
      </c>
      <c r="F35" s="8">
        <f t="shared" si="4"/>
        <v>8170.212791400385</v>
      </c>
      <c r="G35" s="5">
        <f t="shared" ref="G35" si="117">$G$7</f>
        <v>5</v>
      </c>
      <c r="H35" s="8">
        <f t="shared" ref="H35" si="118">$H$7</f>
        <v>3000</v>
      </c>
      <c r="I35" s="9">
        <f t="shared" si="8"/>
        <v>15000</v>
      </c>
      <c r="J35" s="8">
        <f t="shared" si="9"/>
        <v>8170.212791400385</v>
      </c>
      <c r="K35" s="8">
        <f t="shared" ref="K35" si="119">J34*$L$5</f>
        <v>4085.1063575357839</v>
      </c>
      <c r="L35" s="8">
        <f t="shared" ref="L35" si="120">(J35*$L$5)</f>
        <v>4085.1063957001925</v>
      </c>
      <c r="M35" s="9">
        <f t="shared" si="12"/>
        <v>4085.1063575357839</v>
      </c>
      <c r="N35" s="9">
        <f t="shared" si="2"/>
        <v>8170.2127532359764</v>
      </c>
      <c r="O35" s="7">
        <f t="shared" si="3"/>
        <v>8170.2127532359764</v>
      </c>
    </row>
    <row r="36" spans="4:15" x14ac:dyDescent="0.3">
      <c r="D36" s="19"/>
      <c r="E36" s="9" t="s">
        <v>18</v>
      </c>
      <c r="F36" s="8">
        <f t="shared" si="4"/>
        <v>8170.2127532359764</v>
      </c>
      <c r="G36" s="5">
        <f t="shared" ref="G36" si="121">$G$8</f>
        <v>5</v>
      </c>
      <c r="H36" s="8">
        <f t="shared" ref="H36" si="122">$H$8</f>
        <v>3000</v>
      </c>
      <c r="I36" s="9">
        <f t="shared" si="8"/>
        <v>15000</v>
      </c>
      <c r="J36" s="8">
        <f t="shared" si="9"/>
        <v>8170.2127532359764</v>
      </c>
      <c r="K36" s="8">
        <f t="shared" ref="K36" si="123">J35*$O$5</f>
        <v>4085.1063957001925</v>
      </c>
      <c r="L36" s="8">
        <f t="shared" ref="L36" si="124">(J36*$O$5)</f>
        <v>4085.1063766179882</v>
      </c>
      <c r="M36" s="9">
        <f t="shared" si="12"/>
        <v>4085.1063957001925</v>
      </c>
      <c r="N36" s="9">
        <f t="shared" si="2"/>
        <v>8170.2127723181802</v>
      </c>
      <c r="O36" s="7">
        <f t="shared" si="3"/>
        <v>8170.2127723181802</v>
      </c>
    </row>
    <row r="37" spans="4:15" x14ac:dyDescent="0.3">
      <c r="D37" s="19">
        <f t="shared" ref="D37" si="125">N37+N38</f>
        <v>16340.425530324708</v>
      </c>
      <c r="E37" s="9" t="s">
        <v>17</v>
      </c>
      <c r="F37" s="8">
        <f t="shared" si="4"/>
        <v>8170.2127723181802</v>
      </c>
      <c r="G37" s="5">
        <f t="shared" ref="G37" si="126">$G$7</f>
        <v>5</v>
      </c>
      <c r="H37" s="8">
        <f t="shared" ref="H37" si="127">$H$7</f>
        <v>3000</v>
      </c>
      <c r="I37" s="9">
        <f t="shared" si="8"/>
        <v>15000</v>
      </c>
      <c r="J37" s="8">
        <f t="shared" si="9"/>
        <v>8170.2127723181802</v>
      </c>
      <c r="K37" s="8">
        <f t="shared" ref="K37" si="128">J36*$L$5</f>
        <v>4085.1063766179882</v>
      </c>
      <c r="L37" s="8">
        <f t="shared" ref="L37" si="129">(J37*$L$5)</f>
        <v>4085.1063861590901</v>
      </c>
      <c r="M37" s="9">
        <f t="shared" si="12"/>
        <v>4085.1063766179882</v>
      </c>
      <c r="N37" s="9">
        <f t="shared" si="2"/>
        <v>8170.2127627770788</v>
      </c>
      <c r="O37" s="7">
        <f t="shared" si="3"/>
        <v>8170.2127627770788</v>
      </c>
    </row>
    <row r="38" spans="4:15" x14ac:dyDescent="0.3">
      <c r="D38" s="19"/>
      <c r="E38" s="9" t="s">
        <v>18</v>
      </c>
      <c r="F38" s="8">
        <f t="shared" si="4"/>
        <v>8170.2127627770788</v>
      </c>
      <c r="G38" s="5">
        <f t="shared" ref="G38" si="130">$G$8</f>
        <v>5</v>
      </c>
      <c r="H38" s="8">
        <f t="shared" ref="H38" si="131">$H$8</f>
        <v>3000</v>
      </c>
      <c r="I38" s="9">
        <f t="shared" si="8"/>
        <v>15000</v>
      </c>
      <c r="J38" s="8">
        <f t="shared" si="9"/>
        <v>8170.2127627770788</v>
      </c>
      <c r="K38" s="8">
        <f t="shared" ref="K38" si="132">J37*$O$5</f>
        <v>4085.1063861590901</v>
      </c>
      <c r="L38" s="8">
        <f t="shared" ref="L38" si="133">(J38*$O$5)</f>
        <v>4085.1063813885394</v>
      </c>
      <c r="M38" s="9">
        <f t="shared" si="12"/>
        <v>4085.1063861590901</v>
      </c>
      <c r="N38" s="9">
        <f t="shared" si="2"/>
        <v>8170.2127675476295</v>
      </c>
      <c r="O38" s="7">
        <f t="shared" si="3"/>
        <v>8170.2127675476295</v>
      </c>
    </row>
    <row r="39" spans="4:15" x14ac:dyDescent="0.3">
      <c r="D39" s="19">
        <f t="shared" ref="D39" si="134">N39+N40</f>
        <v>16340.425531517347</v>
      </c>
      <c r="E39" s="9" t="s">
        <v>17</v>
      </c>
      <c r="F39" s="8">
        <f t="shared" si="4"/>
        <v>8170.2127675476295</v>
      </c>
      <c r="G39" s="5">
        <f t="shared" ref="G39" si="135">$G$7</f>
        <v>5</v>
      </c>
      <c r="H39" s="8">
        <f t="shared" ref="H39" si="136">$H$7</f>
        <v>3000</v>
      </c>
      <c r="I39" s="9">
        <f t="shared" si="8"/>
        <v>15000</v>
      </c>
      <c r="J39" s="8">
        <f t="shared" si="9"/>
        <v>8170.2127675476295</v>
      </c>
      <c r="K39" s="8">
        <f t="shared" ref="K39" si="137">J38*$L$5</f>
        <v>4085.1063813885394</v>
      </c>
      <c r="L39" s="8">
        <f t="shared" ref="L39" si="138">(J39*$L$5)</f>
        <v>4085.1063837738147</v>
      </c>
      <c r="M39" s="9">
        <f t="shared" si="12"/>
        <v>4085.1063813885394</v>
      </c>
      <c r="N39" s="9">
        <f t="shared" si="2"/>
        <v>8170.2127651623541</v>
      </c>
      <c r="O39" s="7">
        <f t="shared" si="3"/>
        <v>8170.2127651623541</v>
      </c>
    </row>
    <row r="40" spans="4:15" x14ac:dyDescent="0.3">
      <c r="D40" s="19"/>
      <c r="E40" s="9" t="s">
        <v>18</v>
      </c>
      <c r="F40" s="8">
        <f t="shared" si="4"/>
        <v>8170.2127651623541</v>
      </c>
      <c r="G40" s="5">
        <f t="shared" ref="G40" si="139">$G$8</f>
        <v>5</v>
      </c>
      <c r="H40" s="8">
        <f t="shared" ref="H40" si="140">$H$8</f>
        <v>3000</v>
      </c>
      <c r="I40" s="9">
        <f t="shared" si="8"/>
        <v>15000</v>
      </c>
      <c r="J40" s="8">
        <f t="shared" si="9"/>
        <v>8170.2127651623541</v>
      </c>
      <c r="K40" s="8">
        <f t="shared" ref="K40" si="141">J39*$O$5</f>
        <v>4085.1063837738147</v>
      </c>
      <c r="L40" s="8">
        <f t="shared" ref="L40" si="142">(J40*$O$5)</f>
        <v>4085.1063825811771</v>
      </c>
      <c r="M40" s="9">
        <f t="shared" si="12"/>
        <v>4085.1063837738147</v>
      </c>
      <c r="N40" s="9">
        <f t="shared" si="2"/>
        <v>8170.2127663549918</v>
      </c>
      <c r="O40" s="7">
        <f t="shared" si="3"/>
        <v>8170.2127663549918</v>
      </c>
    </row>
    <row r="41" spans="4:15" x14ac:dyDescent="0.3">
      <c r="D41" s="19">
        <f t="shared" ref="D41" si="143">N41+N42</f>
        <v>16340.425531815506</v>
      </c>
      <c r="E41" s="9" t="s">
        <v>17</v>
      </c>
      <c r="F41" s="8">
        <f t="shared" si="4"/>
        <v>8170.2127663549918</v>
      </c>
      <c r="G41" s="5">
        <f t="shared" ref="G41" si="144">$G$7</f>
        <v>5</v>
      </c>
      <c r="H41" s="8">
        <f t="shared" ref="H41" si="145">$H$7</f>
        <v>3000</v>
      </c>
      <c r="I41" s="9">
        <f t="shared" si="8"/>
        <v>15000</v>
      </c>
      <c r="J41" s="8">
        <f t="shared" si="9"/>
        <v>8170.2127663549918</v>
      </c>
      <c r="K41" s="8">
        <f t="shared" ref="K41" si="146">J40*$L$5</f>
        <v>4085.1063825811771</v>
      </c>
      <c r="L41" s="8">
        <f t="shared" ref="L41" si="147">(J41*$L$5)</f>
        <v>4085.1063831774959</v>
      </c>
      <c r="M41" s="9">
        <f t="shared" si="12"/>
        <v>4085.1063825811771</v>
      </c>
      <c r="N41" s="9">
        <f t="shared" si="2"/>
        <v>8170.2127657586734</v>
      </c>
      <c r="O41" s="7">
        <f t="shared" si="3"/>
        <v>8170.2127657586734</v>
      </c>
    </row>
    <row r="42" spans="4:15" x14ac:dyDescent="0.3">
      <c r="D42" s="19"/>
      <c r="E42" s="9" t="s">
        <v>18</v>
      </c>
      <c r="F42" s="8">
        <f t="shared" si="4"/>
        <v>8170.2127657586734</v>
      </c>
      <c r="G42" s="5">
        <f t="shared" ref="G42" si="148">$G$8</f>
        <v>5</v>
      </c>
      <c r="H42" s="8">
        <f t="shared" ref="H42" si="149">$H$8</f>
        <v>3000</v>
      </c>
      <c r="I42" s="9">
        <f t="shared" si="8"/>
        <v>15000</v>
      </c>
      <c r="J42" s="8">
        <f t="shared" si="9"/>
        <v>8170.2127657586734</v>
      </c>
      <c r="K42" s="8">
        <f t="shared" ref="K42" si="150">J41*$O$5</f>
        <v>4085.1063831774959</v>
      </c>
      <c r="L42" s="8">
        <f t="shared" ref="L42" si="151">(J42*$O$5)</f>
        <v>4085.1063828793367</v>
      </c>
      <c r="M42" s="9">
        <f t="shared" si="12"/>
        <v>4085.1063831774959</v>
      </c>
      <c r="N42" s="9">
        <f t="shared" si="2"/>
        <v>8170.2127660568331</v>
      </c>
      <c r="O42" s="7">
        <f t="shared" si="3"/>
        <v>8170.2127660568331</v>
      </c>
    </row>
    <row r="43" spans="4:15" x14ac:dyDescent="0.3">
      <c r="D43" s="19">
        <f t="shared" ref="D43" si="152">N43+N44</f>
        <v>16340.425531890047</v>
      </c>
      <c r="E43" s="9" t="s">
        <v>17</v>
      </c>
      <c r="F43" s="8">
        <f t="shared" si="4"/>
        <v>8170.2127660568331</v>
      </c>
      <c r="G43" s="5">
        <f t="shared" ref="G43" si="153">$G$7</f>
        <v>5</v>
      </c>
      <c r="H43" s="8">
        <f t="shared" ref="H43" si="154">$H$7</f>
        <v>3000</v>
      </c>
      <c r="I43" s="9">
        <f t="shared" si="8"/>
        <v>15000</v>
      </c>
      <c r="J43" s="8">
        <f t="shared" si="9"/>
        <v>8170.2127660568331</v>
      </c>
      <c r="K43" s="8">
        <f t="shared" ref="K43" si="155">J42*$L$5</f>
        <v>4085.1063828793367</v>
      </c>
      <c r="L43" s="8">
        <f t="shared" ref="L43" si="156">(J43*$L$5)</f>
        <v>4085.1063830284165</v>
      </c>
      <c r="M43" s="9">
        <f t="shared" si="12"/>
        <v>4085.1063828793367</v>
      </c>
      <c r="N43" s="9">
        <f t="shared" si="2"/>
        <v>8170.2127659077532</v>
      </c>
      <c r="O43" s="7">
        <f t="shared" si="3"/>
        <v>8170.2127659077514</v>
      </c>
    </row>
    <row r="44" spans="4:15" x14ac:dyDescent="0.3">
      <c r="D44" s="19"/>
      <c r="E44" s="9" t="s">
        <v>18</v>
      </c>
      <c r="F44" s="8">
        <f t="shared" si="4"/>
        <v>8170.2127659077514</v>
      </c>
      <c r="G44" s="5">
        <f t="shared" ref="G44" si="157">$G$8</f>
        <v>5</v>
      </c>
      <c r="H44" s="8">
        <f t="shared" ref="H44" si="158">$H$8</f>
        <v>3000</v>
      </c>
      <c r="I44" s="9">
        <f t="shared" si="8"/>
        <v>15000</v>
      </c>
      <c r="J44" s="8">
        <f t="shared" si="9"/>
        <v>8170.2127659077514</v>
      </c>
      <c r="K44" s="8">
        <f t="shared" ref="K44" si="159">J43*$O$5</f>
        <v>4085.1063830284165</v>
      </c>
      <c r="L44" s="8">
        <f t="shared" ref="L44" si="160">(J44*$O$5)</f>
        <v>4085.1063829538757</v>
      </c>
      <c r="M44" s="9">
        <f t="shared" si="12"/>
        <v>4085.1063830284165</v>
      </c>
      <c r="N44" s="9">
        <f t="shared" si="2"/>
        <v>8170.2127659822927</v>
      </c>
      <c r="O44" s="7">
        <f t="shared" si="3"/>
        <v>8170.2127659822945</v>
      </c>
    </row>
    <row r="45" spans="4:15" x14ac:dyDescent="0.3">
      <c r="D45" s="19">
        <f t="shared" ref="D45" si="161">N45+N46</f>
        <v>16340.425531908681</v>
      </c>
      <c r="E45" s="9" t="s">
        <v>17</v>
      </c>
      <c r="F45" s="8">
        <f t="shared" si="4"/>
        <v>8170.2127659822945</v>
      </c>
      <c r="G45" s="5">
        <f t="shared" ref="G45" si="162">$G$7</f>
        <v>5</v>
      </c>
      <c r="H45" s="8">
        <f t="shared" ref="H45" si="163">$H$7</f>
        <v>3000</v>
      </c>
      <c r="I45" s="9">
        <f t="shared" si="8"/>
        <v>15000</v>
      </c>
      <c r="J45" s="8">
        <f t="shared" si="9"/>
        <v>8170.2127659822945</v>
      </c>
      <c r="K45" s="8">
        <f t="shared" ref="K45" si="164">J44*$L$5</f>
        <v>4085.1063829538757</v>
      </c>
      <c r="L45" s="8">
        <f t="shared" ref="L45" si="165">(J45*$L$5)</f>
        <v>4085.1063829911473</v>
      </c>
      <c r="M45" s="9">
        <f t="shared" si="12"/>
        <v>4085.1063829538757</v>
      </c>
      <c r="N45" s="9">
        <f t="shared" si="2"/>
        <v>8170.2127659450234</v>
      </c>
      <c r="O45" s="7">
        <f t="shared" si="3"/>
        <v>8170.2127659450216</v>
      </c>
    </row>
    <row r="46" spans="4:15" x14ac:dyDescent="0.3">
      <c r="D46" s="19"/>
      <c r="E46" s="9" t="s">
        <v>18</v>
      </c>
      <c r="F46" s="8">
        <f t="shared" si="4"/>
        <v>8170.2127659450216</v>
      </c>
      <c r="G46" s="5">
        <f t="shared" ref="G46" si="166">$G$8</f>
        <v>5</v>
      </c>
      <c r="H46" s="8">
        <f t="shared" ref="H46" si="167">$H$8</f>
        <v>3000</v>
      </c>
      <c r="I46" s="9">
        <f t="shared" si="8"/>
        <v>15000</v>
      </c>
      <c r="J46" s="8">
        <f t="shared" si="9"/>
        <v>8170.2127659450216</v>
      </c>
      <c r="K46" s="8">
        <f t="shared" ref="K46" si="168">J45*$O$5</f>
        <v>4085.1063829911473</v>
      </c>
      <c r="L46" s="8">
        <f t="shared" ref="L46" si="169">(J46*$O$5)</f>
        <v>4085.1063829725108</v>
      </c>
      <c r="M46" s="9">
        <f t="shared" si="12"/>
        <v>4085.1063829911473</v>
      </c>
      <c r="N46" s="9">
        <f t="shared" si="2"/>
        <v>8170.2127659636581</v>
      </c>
      <c r="O46" s="7">
        <f t="shared" si="3"/>
        <v>8170.2127659636581</v>
      </c>
    </row>
    <row r="47" spans="4:15" x14ac:dyDescent="0.3">
      <c r="D47" s="19">
        <f t="shared" ref="D47" si="170">N47+N48</f>
        <v>16340.425531913339</v>
      </c>
      <c r="E47" s="9" t="s">
        <v>17</v>
      </c>
      <c r="F47" s="8">
        <f t="shared" si="4"/>
        <v>8170.2127659636581</v>
      </c>
      <c r="G47" s="5">
        <f t="shared" ref="G47" si="171">$G$7</f>
        <v>5</v>
      </c>
      <c r="H47" s="8">
        <f t="shared" ref="H47" si="172">$H$7</f>
        <v>3000</v>
      </c>
      <c r="I47" s="9">
        <f t="shared" si="8"/>
        <v>15000</v>
      </c>
      <c r="J47" s="8">
        <f t="shared" si="9"/>
        <v>8170.2127659636581</v>
      </c>
      <c r="K47" s="8">
        <f t="shared" ref="K47" si="173">J46*$L$5</f>
        <v>4085.1063829725108</v>
      </c>
      <c r="L47" s="8">
        <f t="shared" ref="L47" si="174">(J47*$L$5)</f>
        <v>4085.106382981829</v>
      </c>
      <c r="M47" s="9">
        <f t="shared" si="12"/>
        <v>4085.1063829725108</v>
      </c>
      <c r="N47" s="9">
        <f t="shared" si="2"/>
        <v>8170.2127659543403</v>
      </c>
      <c r="O47" s="7">
        <f t="shared" si="3"/>
        <v>8170.2127659543403</v>
      </c>
    </row>
    <row r="48" spans="4:15" x14ac:dyDescent="0.3">
      <c r="D48" s="19"/>
      <c r="E48" s="9" t="s">
        <v>18</v>
      </c>
      <c r="F48" s="8">
        <f t="shared" si="4"/>
        <v>8170.2127659543403</v>
      </c>
      <c r="G48" s="5">
        <f t="shared" ref="G48" si="175">$G$8</f>
        <v>5</v>
      </c>
      <c r="H48" s="8">
        <f t="shared" ref="H48" si="176">$H$8</f>
        <v>3000</v>
      </c>
      <c r="I48" s="9">
        <f t="shared" si="8"/>
        <v>15000</v>
      </c>
      <c r="J48" s="8">
        <f t="shared" si="9"/>
        <v>8170.2127659543403</v>
      </c>
      <c r="K48" s="8">
        <f t="shared" ref="K48" si="177">J47*$O$5</f>
        <v>4085.106382981829</v>
      </c>
      <c r="L48" s="8">
        <f t="shared" ref="L48" si="178">(J48*$O$5)</f>
        <v>4085.1063829771701</v>
      </c>
      <c r="M48" s="9">
        <f t="shared" si="12"/>
        <v>4085.106382981829</v>
      </c>
      <c r="N48" s="9">
        <f t="shared" si="2"/>
        <v>8170.2127659589987</v>
      </c>
      <c r="O48" s="7">
        <f t="shared" si="3"/>
        <v>8170.2127659589987</v>
      </c>
    </row>
    <row r="49" spans="4:15" x14ac:dyDescent="0.3">
      <c r="D49" s="19">
        <f t="shared" ref="D49" si="179">N49+N50</f>
        <v>16340.425531914505</v>
      </c>
      <c r="E49" s="9" t="s">
        <v>17</v>
      </c>
      <c r="F49" s="8">
        <f t="shared" si="4"/>
        <v>8170.2127659589987</v>
      </c>
      <c r="G49" s="5">
        <f t="shared" ref="G49" si="180">$G$7</f>
        <v>5</v>
      </c>
      <c r="H49" s="8">
        <f t="shared" ref="H49" si="181">$H$7</f>
        <v>3000</v>
      </c>
      <c r="I49" s="9">
        <f t="shared" si="8"/>
        <v>15000</v>
      </c>
      <c r="J49" s="8">
        <f t="shared" si="9"/>
        <v>8170.2127659589987</v>
      </c>
      <c r="K49" s="8">
        <f t="shared" ref="K49" si="182">J48*$L$5</f>
        <v>4085.1063829771701</v>
      </c>
      <c r="L49" s="8">
        <f t="shared" ref="L49" si="183">(J49*$L$5)</f>
        <v>4085.1063829794994</v>
      </c>
      <c r="M49" s="9">
        <f t="shared" si="12"/>
        <v>4085.1063829771701</v>
      </c>
      <c r="N49" s="9">
        <f t="shared" si="2"/>
        <v>8170.2127659566695</v>
      </c>
      <c r="O49" s="7">
        <f t="shared" si="3"/>
        <v>8170.2127659566695</v>
      </c>
    </row>
    <row r="50" spans="4:15" x14ac:dyDescent="0.3">
      <c r="D50" s="19"/>
      <c r="E50" s="9" t="s">
        <v>18</v>
      </c>
      <c r="F50" s="8">
        <f t="shared" si="4"/>
        <v>8170.2127659566695</v>
      </c>
      <c r="G50" s="5">
        <f t="shared" ref="G50" si="184">$G$8</f>
        <v>5</v>
      </c>
      <c r="H50" s="8">
        <f t="shared" ref="H50" si="185">$H$8</f>
        <v>3000</v>
      </c>
      <c r="I50" s="9">
        <f t="shared" si="8"/>
        <v>15000</v>
      </c>
      <c r="J50" s="8">
        <f t="shared" si="9"/>
        <v>8170.2127659566695</v>
      </c>
      <c r="K50" s="8">
        <f t="shared" ref="K50" si="186">J49*$O$5</f>
        <v>4085.1063829794994</v>
      </c>
      <c r="L50" s="8">
        <f t="shared" ref="L50" si="187">(J50*$O$5)</f>
        <v>4085.1063829783348</v>
      </c>
      <c r="M50" s="9">
        <f t="shared" si="12"/>
        <v>4085.1063829794994</v>
      </c>
      <c r="N50" s="9">
        <f t="shared" si="2"/>
        <v>8170.2127659578346</v>
      </c>
      <c r="O50" s="7">
        <f t="shared" si="3"/>
        <v>8170.2127659578346</v>
      </c>
    </row>
    <row r="51" spans="4:15" x14ac:dyDescent="0.3">
      <c r="D51" s="19">
        <f t="shared" ref="D51" si="188">N51+N52</f>
        <v>16340.425531914796</v>
      </c>
      <c r="E51" s="9" t="s">
        <v>17</v>
      </c>
      <c r="F51" s="8">
        <f t="shared" si="4"/>
        <v>8170.2127659578346</v>
      </c>
      <c r="G51" s="5">
        <f t="shared" ref="G51" si="189">$G$7</f>
        <v>5</v>
      </c>
      <c r="H51" s="8">
        <f t="shared" ref="H51" si="190">$H$7</f>
        <v>3000</v>
      </c>
      <c r="I51" s="9">
        <f t="shared" si="8"/>
        <v>15000</v>
      </c>
      <c r="J51" s="8">
        <f t="shared" si="9"/>
        <v>8170.2127659578346</v>
      </c>
      <c r="K51" s="8">
        <f t="shared" ref="K51" si="191">J50*$L$5</f>
        <v>4085.1063829783348</v>
      </c>
      <c r="L51" s="8">
        <f t="shared" ref="L51" si="192">(J51*$L$5)</f>
        <v>4085.1063829789173</v>
      </c>
      <c r="M51" s="9">
        <f t="shared" si="12"/>
        <v>4085.1063829783348</v>
      </c>
      <c r="N51" s="9">
        <f t="shared" si="2"/>
        <v>8170.2127659572525</v>
      </c>
      <c r="O51" s="7">
        <f t="shared" si="3"/>
        <v>8170.2127659572525</v>
      </c>
    </row>
    <row r="52" spans="4:15" x14ac:dyDescent="0.3">
      <c r="D52" s="19"/>
      <c r="E52" s="9" t="s">
        <v>18</v>
      </c>
      <c r="F52" s="8">
        <f t="shared" si="4"/>
        <v>8170.2127659572525</v>
      </c>
      <c r="G52" s="5">
        <f t="shared" ref="G52" si="193">$G$8</f>
        <v>5</v>
      </c>
      <c r="H52" s="8">
        <f t="shared" ref="H52" si="194">$H$8</f>
        <v>3000</v>
      </c>
      <c r="I52" s="9">
        <f t="shared" si="8"/>
        <v>15000</v>
      </c>
      <c r="J52" s="8">
        <f t="shared" si="9"/>
        <v>8170.2127659572525</v>
      </c>
      <c r="K52" s="8">
        <f t="shared" ref="K52" si="195">J51*$O$5</f>
        <v>4085.1063829789173</v>
      </c>
      <c r="L52" s="8">
        <f t="shared" ref="L52" si="196">(J52*$O$5)</f>
        <v>4085.1063829786262</v>
      </c>
      <c r="M52" s="9">
        <f t="shared" si="12"/>
        <v>4085.1063829789173</v>
      </c>
      <c r="N52" s="9">
        <f t="shared" si="2"/>
        <v>8170.2127659575435</v>
      </c>
      <c r="O52" s="7">
        <f t="shared" si="3"/>
        <v>8170.2127659575417</v>
      </c>
    </row>
    <row r="53" spans="4:15" x14ac:dyDescent="0.3">
      <c r="D53" s="19">
        <f t="shared" ref="D53" si="197">N53+N54</f>
        <v>16340.425531914869</v>
      </c>
      <c r="E53" s="9" t="s">
        <v>17</v>
      </c>
      <c r="F53" s="8">
        <f t="shared" si="4"/>
        <v>8170.2127659575417</v>
      </c>
      <c r="G53" s="5">
        <f t="shared" ref="G53" si="198">$G$7</f>
        <v>5</v>
      </c>
      <c r="H53" s="8">
        <f t="shared" ref="H53" si="199">$H$7</f>
        <v>3000</v>
      </c>
      <c r="I53" s="9">
        <f t="shared" si="8"/>
        <v>15000</v>
      </c>
      <c r="J53" s="8">
        <f t="shared" si="9"/>
        <v>8170.2127659575417</v>
      </c>
      <c r="K53" s="8">
        <f t="shared" ref="K53" si="200">J52*$L$5</f>
        <v>4085.1063829786262</v>
      </c>
      <c r="L53" s="8">
        <f t="shared" ref="L53" si="201">(J53*$L$5)</f>
        <v>4085.1063829787709</v>
      </c>
      <c r="M53" s="9">
        <f t="shared" si="12"/>
        <v>4085.1063829786262</v>
      </c>
      <c r="N53" s="9">
        <f t="shared" si="2"/>
        <v>8170.2127659573971</v>
      </c>
      <c r="O53" s="7">
        <f t="shared" si="3"/>
        <v>8170.2127659573989</v>
      </c>
    </row>
    <row r="54" spans="4:15" x14ac:dyDescent="0.3">
      <c r="D54" s="19"/>
      <c r="E54" s="9" t="s">
        <v>18</v>
      </c>
      <c r="F54" s="8">
        <f t="shared" si="4"/>
        <v>8170.2127659573989</v>
      </c>
      <c r="G54" s="5">
        <f t="shared" ref="G54" si="202">$G$8</f>
        <v>5</v>
      </c>
      <c r="H54" s="8">
        <f t="shared" ref="H54" si="203">$H$8</f>
        <v>3000</v>
      </c>
      <c r="I54" s="9">
        <f t="shared" si="8"/>
        <v>15000</v>
      </c>
      <c r="J54" s="8">
        <f t="shared" si="9"/>
        <v>8170.2127659573989</v>
      </c>
      <c r="K54" s="8">
        <f t="shared" ref="K54" si="204">J53*$O$5</f>
        <v>4085.1063829787709</v>
      </c>
      <c r="L54" s="8">
        <f t="shared" ref="L54" si="205">(J54*$O$5)</f>
        <v>4085.1063829786995</v>
      </c>
      <c r="M54" s="9">
        <f t="shared" si="12"/>
        <v>4085.1063829787709</v>
      </c>
      <c r="N54" s="9">
        <f t="shared" si="2"/>
        <v>8170.2127659574708</v>
      </c>
      <c r="O54" s="7">
        <f t="shared" si="3"/>
        <v>8170.2127659574689</v>
      </c>
    </row>
    <row r="55" spans="4:15" x14ac:dyDescent="0.3">
      <c r="D55" s="19">
        <f t="shared" ref="D55" si="206">N55+N56</f>
        <v>16340.425531914887</v>
      </c>
      <c r="E55" s="9" t="s">
        <v>17</v>
      </c>
      <c r="F55" s="8">
        <f t="shared" si="4"/>
        <v>8170.2127659574689</v>
      </c>
      <c r="G55" s="5">
        <f t="shared" ref="G55" si="207">$G$7</f>
        <v>5</v>
      </c>
      <c r="H55" s="8">
        <f t="shared" ref="H55" si="208">$H$7</f>
        <v>3000</v>
      </c>
      <c r="I55" s="9">
        <f t="shared" si="8"/>
        <v>15000</v>
      </c>
      <c r="J55" s="8">
        <f t="shared" si="9"/>
        <v>8170.2127659574689</v>
      </c>
      <c r="K55" s="8">
        <f t="shared" ref="K55" si="209">J54*$L$5</f>
        <v>4085.1063829786995</v>
      </c>
      <c r="L55" s="8">
        <f t="shared" ref="L55" si="210">(J55*$L$5)</f>
        <v>4085.1063829787345</v>
      </c>
      <c r="M55" s="9">
        <f t="shared" si="12"/>
        <v>4085.1063829786995</v>
      </c>
      <c r="N55" s="9">
        <f t="shared" si="2"/>
        <v>8170.2127659574344</v>
      </c>
      <c r="O55" s="7">
        <f t="shared" si="3"/>
        <v>8170.2127659574344</v>
      </c>
    </row>
    <row r="56" spans="4:15" x14ac:dyDescent="0.3">
      <c r="D56" s="19"/>
      <c r="E56" s="9" t="s">
        <v>18</v>
      </c>
      <c r="F56" s="8">
        <f t="shared" si="4"/>
        <v>8170.2127659574344</v>
      </c>
      <c r="G56" s="5">
        <f t="shared" ref="G56" si="211">$G$8</f>
        <v>5</v>
      </c>
      <c r="H56" s="8">
        <f t="shared" ref="H56" si="212">$H$8</f>
        <v>3000</v>
      </c>
      <c r="I56" s="9">
        <f t="shared" si="8"/>
        <v>15000</v>
      </c>
      <c r="J56" s="8">
        <f t="shared" si="9"/>
        <v>8170.2127659574344</v>
      </c>
      <c r="K56" s="8">
        <f t="shared" ref="K56" si="213">J55*$O$5</f>
        <v>4085.1063829787345</v>
      </c>
      <c r="L56" s="8">
        <f t="shared" ref="L56" si="214">(J56*$O$5)</f>
        <v>4085.1063829787172</v>
      </c>
      <c r="M56" s="9">
        <f t="shared" si="12"/>
        <v>4085.1063829787345</v>
      </c>
      <c r="N56" s="9">
        <f t="shared" si="2"/>
        <v>8170.2127659574517</v>
      </c>
      <c r="O56" s="7">
        <f t="shared" si="3"/>
        <v>8170.2127659574517</v>
      </c>
    </row>
    <row r="57" spans="4:15" x14ac:dyDescent="0.3">
      <c r="D57" s="19">
        <f t="shared" ref="D57" si="215">N57+N58</f>
        <v>16340.425531914891</v>
      </c>
      <c r="E57" s="9" t="s">
        <v>17</v>
      </c>
      <c r="F57" s="8">
        <f t="shared" si="4"/>
        <v>8170.2127659574517</v>
      </c>
      <c r="G57" s="5">
        <f t="shared" ref="G57" si="216">$G$7</f>
        <v>5</v>
      </c>
      <c r="H57" s="8">
        <f t="shared" ref="H57" si="217">$H$7</f>
        <v>3000</v>
      </c>
      <c r="I57" s="9">
        <f t="shared" si="8"/>
        <v>15000</v>
      </c>
      <c r="J57" s="8">
        <f t="shared" si="9"/>
        <v>8170.2127659574517</v>
      </c>
      <c r="K57" s="8">
        <f t="shared" ref="K57" si="218">J56*$L$5</f>
        <v>4085.1063829787172</v>
      </c>
      <c r="L57" s="8">
        <f t="shared" ref="L57" si="219">(J57*$L$5)</f>
        <v>4085.1063829787258</v>
      </c>
      <c r="M57" s="9">
        <f t="shared" si="12"/>
        <v>4085.1063829787172</v>
      </c>
      <c r="N57" s="9">
        <f t="shared" si="2"/>
        <v>8170.2127659574435</v>
      </c>
      <c r="O57" s="7">
        <f t="shared" si="3"/>
        <v>8170.2127659574435</v>
      </c>
    </row>
    <row r="58" spans="4:15" x14ac:dyDescent="0.3">
      <c r="D58" s="19"/>
      <c r="E58" s="9" t="s">
        <v>18</v>
      </c>
      <c r="F58" s="8">
        <f t="shared" si="4"/>
        <v>8170.2127659574435</v>
      </c>
      <c r="G58" s="5">
        <f t="shared" ref="G58" si="220">$G$8</f>
        <v>5</v>
      </c>
      <c r="H58" s="8">
        <f t="shared" ref="H58" si="221">$H$8</f>
        <v>3000</v>
      </c>
      <c r="I58" s="9">
        <f t="shared" si="8"/>
        <v>15000</v>
      </c>
      <c r="J58" s="8">
        <f t="shared" si="9"/>
        <v>8170.2127659574435</v>
      </c>
      <c r="K58" s="8">
        <f t="shared" ref="K58" si="222">J57*$O$5</f>
        <v>4085.1063829787258</v>
      </c>
      <c r="L58" s="8">
        <f t="shared" ref="L58" si="223">(J58*$O$5)</f>
        <v>4085.1063829787217</v>
      </c>
      <c r="M58" s="9">
        <f t="shared" si="12"/>
        <v>4085.1063829787258</v>
      </c>
      <c r="N58" s="9">
        <f t="shared" si="2"/>
        <v>8170.2127659574471</v>
      </c>
      <c r="O58" s="7">
        <f t="shared" si="3"/>
        <v>8170.2127659574471</v>
      </c>
    </row>
    <row r="59" spans="4:15" x14ac:dyDescent="0.3">
      <c r="D59" s="19">
        <f t="shared" ref="D59" si="224">N59+N60</f>
        <v>16340.425531914891</v>
      </c>
      <c r="E59" s="9" t="s">
        <v>17</v>
      </c>
      <c r="F59" s="8">
        <f t="shared" si="4"/>
        <v>8170.2127659574471</v>
      </c>
      <c r="G59" s="5">
        <f t="shared" ref="G59" si="225">$G$7</f>
        <v>5</v>
      </c>
      <c r="H59" s="8">
        <f t="shared" ref="H59" si="226">$H$7</f>
        <v>3000</v>
      </c>
      <c r="I59" s="9">
        <f t="shared" si="8"/>
        <v>15000</v>
      </c>
      <c r="J59" s="8">
        <f t="shared" si="9"/>
        <v>8170.2127659574471</v>
      </c>
      <c r="K59" s="8">
        <f t="shared" ref="K59" si="227">J58*$L$5</f>
        <v>4085.1063829787217</v>
      </c>
      <c r="L59" s="8">
        <f t="shared" ref="L59" si="228">(J59*$L$5)</f>
        <v>4085.1063829787236</v>
      </c>
      <c r="M59" s="9">
        <f t="shared" si="12"/>
        <v>4085.1063829787217</v>
      </c>
      <c r="N59" s="9">
        <f t="shared" si="2"/>
        <v>8170.2127659574453</v>
      </c>
      <c r="O59" s="7">
        <f t="shared" si="3"/>
        <v>8170.2127659574453</v>
      </c>
    </row>
    <row r="60" spans="4:15" x14ac:dyDescent="0.3">
      <c r="D60" s="19"/>
      <c r="E60" s="9" t="s">
        <v>18</v>
      </c>
      <c r="F60" s="8">
        <f t="shared" si="4"/>
        <v>8170.2127659574453</v>
      </c>
      <c r="G60" s="5">
        <f t="shared" ref="G60" si="229">$G$8</f>
        <v>5</v>
      </c>
      <c r="H60" s="8">
        <f t="shared" ref="H60" si="230">$H$8</f>
        <v>3000</v>
      </c>
      <c r="I60" s="9">
        <f t="shared" si="8"/>
        <v>15000</v>
      </c>
      <c r="J60" s="8">
        <f t="shared" si="9"/>
        <v>8170.2127659574453</v>
      </c>
      <c r="K60" s="8">
        <f t="shared" ref="K60" si="231">J59*$O$5</f>
        <v>4085.1063829787236</v>
      </c>
      <c r="L60" s="8">
        <f t="shared" ref="L60" si="232">(J60*$O$5)</f>
        <v>4085.1063829787226</v>
      </c>
      <c r="M60" s="9">
        <f t="shared" si="12"/>
        <v>4085.1063829787236</v>
      </c>
      <c r="N60" s="9">
        <f t="shared" si="2"/>
        <v>8170.2127659574462</v>
      </c>
      <c r="O60" s="7">
        <f t="shared" si="3"/>
        <v>8170.2127659574462</v>
      </c>
    </row>
    <row r="61" spans="4:15" x14ac:dyDescent="0.3">
      <c r="D61" s="19">
        <f t="shared" ref="D61" si="233">N61+N62</f>
        <v>16340.425531914891</v>
      </c>
      <c r="E61" s="9" t="s">
        <v>17</v>
      </c>
      <c r="F61" s="8">
        <f t="shared" si="4"/>
        <v>8170.2127659574462</v>
      </c>
      <c r="G61" s="5">
        <f t="shared" ref="G61" si="234">$G$7</f>
        <v>5</v>
      </c>
      <c r="H61" s="8">
        <f t="shared" ref="H61" si="235">$H$7</f>
        <v>3000</v>
      </c>
      <c r="I61" s="9">
        <f t="shared" si="8"/>
        <v>15000</v>
      </c>
      <c r="J61" s="8">
        <f t="shared" si="9"/>
        <v>8170.2127659574462</v>
      </c>
      <c r="K61" s="8">
        <f t="shared" ref="K61" si="236">J60*$L$5</f>
        <v>4085.1063829787226</v>
      </c>
      <c r="L61" s="8">
        <f t="shared" ref="L61" si="237">(J61*$L$5)</f>
        <v>4085.1063829787231</v>
      </c>
      <c r="M61" s="9">
        <f t="shared" si="12"/>
        <v>4085.1063829787226</v>
      </c>
      <c r="N61" s="9">
        <f t="shared" si="2"/>
        <v>8170.2127659574453</v>
      </c>
      <c r="O61" s="7">
        <f t="shared" si="3"/>
        <v>8170.2127659574453</v>
      </c>
    </row>
    <row r="62" spans="4:15" x14ac:dyDescent="0.3">
      <c r="D62" s="19"/>
      <c r="E62" s="9" t="s">
        <v>18</v>
      </c>
      <c r="F62" s="8">
        <f t="shared" si="4"/>
        <v>8170.2127659574453</v>
      </c>
      <c r="G62" s="5">
        <f t="shared" ref="G62" si="238">$G$8</f>
        <v>5</v>
      </c>
      <c r="H62" s="8">
        <f t="shared" ref="H62" si="239">$H$8</f>
        <v>3000</v>
      </c>
      <c r="I62" s="9">
        <f t="shared" si="8"/>
        <v>15000</v>
      </c>
      <c r="J62" s="8">
        <f t="shared" si="9"/>
        <v>8170.2127659574453</v>
      </c>
      <c r="K62" s="8">
        <f t="shared" ref="K62" si="240">J61*$O$5</f>
        <v>4085.1063829787231</v>
      </c>
      <c r="L62" s="8">
        <f t="shared" ref="L62" si="241">(J62*$O$5)</f>
        <v>4085.1063829787226</v>
      </c>
      <c r="M62" s="9">
        <f t="shared" si="12"/>
        <v>4085.1063829787231</v>
      </c>
      <c r="N62" s="9">
        <f t="shared" si="2"/>
        <v>8170.2127659574453</v>
      </c>
      <c r="O62" s="7">
        <f t="shared" si="3"/>
        <v>8170.2127659574453</v>
      </c>
    </row>
    <row r="63" spans="4:15" x14ac:dyDescent="0.3">
      <c r="D63" s="19">
        <f t="shared" ref="D63" si="242">N63+N64</f>
        <v>16340.425531914891</v>
      </c>
      <c r="E63" s="9" t="s">
        <v>17</v>
      </c>
      <c r="F63" s="8">
        <f t="shared" si="4"/>
        <v>8170.2127659574453</v>
      </c>
      <c r="G63" s="5">
        <f t="shared" ref="G63" si="243">$G$7</f>
        <v>5</v>
      </c>
      <c r="H63" s="8">
        <f t="shared" ref="H63" si="244">$H$7</f>
        <v>3000</v>
      </c>
      <c r="I63" s="9">
        <f t="shared" si="8"/>
        <v>15000</v>
      </c>
      <c r="J63" s="8">
        <f t="shared" si="9"/>
        <v>8170.2127659574453</v>
      </c>
      <c r="K63" s="8">
        <f t="shared" ref="K63" si="245">J62*$L$5</f>
        <v>4085.1063829787226</v>
      </c>
      <c r="L63" s="8">
        <f t="shared" ref="L63" si="246">(J63*$L$5)</f>
        <v>4085.1063829787226</v>
      </c>
      <c r="M63" s="9">
        <f t="shared" si="12"/>
        <v>4085.1063829787226</v>
      </c>
      <c r="N63" s="9">
        <f t="shared" si="2"/>
        <v>8170.2127659574453</v>
      </c>
      <c r="O63" s="7">
        <f t="shared" si="3"/>
        <v>8170.2127659574471</v>
      </c>
    </row>
    <row r="64" spans="4:15" x14ac:dyDescent="0.3">
      <c r="D64" s="19"/>
      <c r="E64" s="9" t="s">
        <v>18</v>
      </c>
      <c r="F64" s="8">
        <f t="shared" si="4"/>
        <v>8170.2127659574471</v>
      </c>
      <c r="G64" s="5">
        <f t="shared" ref="G64" si="247">$G$8</f>
        <v>5</v>
      </c>
      <c r="H64" s="8">
        <f t="shared" ref="H64" si="248">$H$8</f>
        <v>3000</v>
      </c>
      <c r="I64" s="9">
        <f t="shared" si="8"/>
        <v>15000</v>
      </c>
      <c r="J64" s="8">
        <f t="shared" si="9"/>
        <v>8170.2127659574471</v>
      </c>
      <c r="K64" s="8">
        <f t="shared" ref="K64" si="249">J63*$O$5</f>
        <v>4085.1063829787226</v>
      </c>
      <c r="L64" s="8">
        <f t="shared" ref="L64" si="250">(J64*$O$5)</f>
        <v>4085.1063829787236</v>
      </c>
      <c r="M64" s="9">
        <f t="shared" si="12"/>
        <v>4085.1063829787226</v>
      </c>
      <c r="N64" s="9">
        <f t="shared" si="2"/>
        <v>8170.2127659574462</v>
      </c>
      <c r="O64" s="7">
        <f t="shared" si="3"/>
        <v>8170.2127659574444</v>
      </c>
    </row>
    <row r="65" spans="4:15" x14ac:dyDescent="0.3">
      <c r="D65" s="19">
        <f t="shared" ref="D65" si="251">N65+N66</f>
        <v>16340.425531914891</v>
      </c>
      <c r="E65" s="9" t="s">
        <v>17</v>
      </c>
      <c r="F65" s="8">
        <f t="shared" si="4"/>
        <v>8170.2127659574444</v>
      </c>
      <c r="G65" s="5">
        <f t="shared" ref="G65" si="252">$G$7</f>
        <v>5</v>
      </c>
      <c r="H65" s="8">
        <f t="shared" ref="H65" si="253">$H$7</f>
        <v>3000</v>
      </c>
      <c r="I65" s="9">
        <f t="shared" si="8"/>
        <v>15000</v>
      </c>
      <c r="J65" s="8">
        <f t="shared" si="9"/>
        <v>8170.2127659574444</v>
      </c>
      <c r="K65" s="8">
        <f t="shared" ref="K65" si="254">J64*$L$5</f>
        <v>4085.1063829787236</v>
      </c>
      <c r="L65" s="8">
        <f t="shared" ref="L65" si="255">(J65*$L$5)</f>
        <v>4085.1063829787222</v>
      </c>
      <c r="M65" s="9">
        <f t="shared" si="12"/>
        <v>4085.1063829787236</v>
      </c>
      <c r="N65" s="9">
        <f t="shared" si="2"/>
        <v>8170.2127659574453</v>
      </c>
      <c r="O65" s="7">
        <f t="shared" si="3"/>
        <v>8170.2127659574471</v>
      </c>
    </row>
    <row r="66" spans="4:15" x14ac:dyDescent="0.3">
      <c r="D66" s="19"/>
      <c r="E66" s="9" t="s">
        <v>18</v>
      </c>
      <c r="F66" s="8">
        <f t="shared" si="4"/>
        <v>8170.2127659574471</v>
      </c>
      <c r="G66" s="5">
        <f t="shared" ref="G66" si="256">$G$8</f>
        <v>5</v>
      </c>
      <c r="H66" s="8">
        <f t="shared" ref="H66" si="257">$H$8</f>
        <v>3000</v>
      </c>
      <c r="I66" s="9">
        <f t="shared" si="8"/>
        <v>15000</v>
      </c>
      <c r="J66" s="8">
        <f t="shared" si="9"/>
        <v>8170.2127659574471</v>
      </c>
      <c r="K66" s="8">
        <f t="shared" ref="K66" si="258">J65*$O$5</f>
        <v>4085.1063829787222</v>
      </c>
      <c r="L66" s="8">
        <f t="shared" ref="L66" si="259">(J66*$O$5)</f>
        <v>4085.1063829787236</v>
      </c>
      <c r="M66" s="9">
        <f t="shared" si="12"/>
        <v>4085.1063829787222</v>
      </c>
      <c r="N66" s="9">
        <f t="shared" si="2"/>
        <v>8170.2127659574453</v>
      </c>
      <c r="O66" s="7">
        <f t="shared" si="3"/>
        <v>8170.2127659574453</v>
      </c>
    </row>
    <row r="67" spans="4:15" x14ac:dyDescent="0.3">
      <c r="D67" s="19">
        <f t="shared" ref="D67" si="260">N67+N68</f>
        <v>16340.425531914891</v>
      </c>
      <c r="E67" s="9" t="s">
        <v>17</v>
      </c>
      <c r="F67" s="8">
        <f t="shared" si="4"/>
        <v>8170.2127659574453</v>
      </c>
      <c r="G67" s="5">
        <f t="shared" ref="G67" si="261">$G$7</f>
        <v>5</v>
      </c>
      <c r="H67" s="8">
        <f t="shared" ref="H67" si="262">$H$7</f>
        <v>3000</v>
      </c>
      <c r="I67" s="9">
        <f t="shared" si="8"/>
        <v>15000</v>
      </c>
      <c r="J67" s="8">
        <f t="shared" si="9"/>
        <v>8170.2127659574453</v>
      </c>
      <c r="K67" s="8">
        <f t="shared" ref="K67" si="263">J66*$L$5</f>
        <v>4085.1063829787236</v>
      </c>
      <c r="L67" s="8">
        <f t="shared" ref="L67" si="264">(J67*$L$5)</f>
        <v>4085.1063829787226</v>
      </c>
      <c r="M67" s="9">
        <f t="shared" si="12"/>
        <v>4085.1063829787236</v>
      </c>
      <c r="N67" s="9">
        <f t="shared" si="2"/>
        <v>8170.2127659574462</v>
      </c>
      <c r="O67" s="7">
        <f t="shared" si="3"/>
        <v>8170.2127659574462</v>
      </c>
    </row>
    <row r="68" spans="4:15" x14ac:dyDescent="0.3">
      <c r="D68" s="19"/>
      <c r="E68" s="9" t="s">
        <v>18</v>
      </c>
      <c r="F68" s="8">
        <f t="shared" si="4"/>
        <v>8170.2127659574462</v>
      </c>
      <c r="G68" s="5">
        <f t="shared" ref="G68" si="265">$G$8</f>
        <v>5</v>
      </c>
      <c r="H68" s="8">
        <f t="shared" ref="H68" si="266">$H$8</f>
        <v>3000</v>
      </c>
      <c r="I68" s="9">
        <f t="shared" si="8"/>
        <v>15000</v>
      </c>
      <c r="J68" s="8">
        <f t="shared" si="9"/>
        <v>8170.2127659574462</v>
      </c>
      <c r="K68" s="8">
        <f t="shared" ref="K68" si="267">J67*$O$5</f>
        <v>4085.1063829787226</v>
      </c>
      <c r="L68" s="8">
        <f t="shared" ref="L68" si="268">(J68*$O$5)</f>
        <v>4085.1063829787231</v>
      </c>
      <c r="M68" s="9">
        <f t="shared" si="12"/>
        <v>4085.1063829787226</v>
      </c>
      <c r="N68" s="9">
        <f t="shared" si="2"/>
        <v>8170.2127659574453</v>
      </c>
      <c r="O68" s="7">
        <f t="shared" si="3"/>
        <v>8170.2127659574453</v>
      </c>
    </row>
    <row r="69" spans="4:15" x14ac:dyDescent="0.3">
      <c r="D69" s="19">
        <f t="shared" ref="D69" si="269">N69+N70</f>
        <v>16340.425531914891</v>
      </c>
      <c r="E69" s="9" t="s">
        <v>17</v>
      </c>
      <c r="F69" s="8">
        <f t="shared" si="4"/>
        <v>8170.2127659574453</v>
      </c>
      <c r="G69" s="5">
        <f t="shared" ref="G69" si="270">$G$7</f>
        <v>5</v>
      </c>
      <c r="H69" s="8">
        <f t="shared" ref="H69" si="271">$H$7</f>
        <v>3000</v>
      </c>
      <c r="I69" s="9">
        <f t="shared" si="8"/>
        <v>15000</v>
      </c>
      <c r="J69" s="8">
        <f t="shared" si="9"/>
        <v>8170.2127659574453</v>
      </c>
      <c r="K69" s="8">
        <f t="shared" ref="K69" si="272">J68*$L$5</f>
        <v>4085.1063829787231</v>
      </c>
      <c r="L69" s="8">
        <f t="shared" ref="L69" si="273">(J69*$L$5)</f>
        <v>4085.1063829787226</v>
      </c>
      <c r="M69" s="9">
        <f t="shared" si="12"/>
        <v>4085.1063829787231</v>
      </c>
      <c r="N69" s="9">
        <f t="shared" si="2"/>
        <v>8170.2127659574453</v>
      </c>
      <c r="O69" s="7">
        <f t="shared" si="3"/>
        <v>8170.2127659574453</v>
      </c>
    </row>
    <row r="70" spans="4:15" x14ac:dyDescent="0.3">
      <c r="D70" s="19"/>
      <c r="E70" s="9" t="s">
        <v>18</v>
      </c>
      <c r="F70" s="8">
        <f t="shared" si="4"/>
        <v>8170.2127659574453</v>
      </c>
      <c r="G70" s="5">
        <f t="shared" ref="G70" si="274">$G$8</f>
        <v>5</v>
      </c>
      <c r="H70" s="8">
        <f t="shared" ref="H70" si="275">$H$8</f>
        <v>3000</v>
      </c>
      <c r="I70" s="9">
        <f t="shared" si="8"/>
        <v>15000</v>
      </c>
      <c r="J70" s="8">
        <f t="shared" si="9"/>
        <v>8170.2127659574453</v>
      </c>
      <c r="K70" s="8">
        <f t="shared" ref="K70" si="276">J69*$O$5</f>
        <v>4085.1063829787226</v>
      </c>
      <c r="L70" s="8">
        <f t="shared" ref="L70" si="277">(J70*$O$5)</f>
        <v>4085.1063829787226</v>
      </c>
      <c r="M70" s="9">
        <f t="shared" si="12"/>
        <v>4085.1063829787226</v>
      </c>
      <c r="N70" s="9">
        <f t="shared" si="2"/>
        <v>8170.2127659574453</v>
      </c>
      <c r="O70" s="7">
        <f t="shared" si="3"/>
        <v>8170.2127659574471</v>
      </c>
    </row>
    <row r="71" spans="4:15" x14ac:dyDescent="0.3">
      <c r="D71" s="19">
        <f t="shared" ref="D71" si="278">N71+N72</f>
        <v>16340.425531914891</v>
      </c>
      <c r="E71" s="9" t="s">
        <v>17</v>
      </c>
      <c r="F71" s="8">
        <f t="shared" si="4"/>
        <v>8170.2127659574471</v>
      </c>
      <c r="G71" s="5">
        <f t="shared" ref="G71" si="279">$G$7</f>
        <v>5</v>
      </c>
      <c r="H71" s="8">
        <f t="shared" ref="H71" si="280">$H$7</f>
        <v>3000</v>
      </c>
      <c r="I71" s="9">
        <f t="shared" si="8"/>
        <v>15000</v>
      </c>
      <c r="J71" s="8">
        <f t="shared" si="9"/>
        <v>8170.2127659574471</v>
      </c>
      <c r="K71" s="8">
        <f t="shared" ref="K71" si="281">J70*$L$5</f>
        <v>4085.1063829787226</v>
      </c>
      <c r="L71" s="8">
        <f t="shared" ref="L71" si="282">(J71*$L$5)</f>
        <v>4085.1063829787236</v>
      </c>
      <c r="M71" s="9">
        <f t="shared" si="12"/>
        <v>4085.1063829787226</v>
      </c>
      <c r="N71" s="9">
        <f t="shared" si="2"/>
        <v>8170.2127659574462</v>
      </c>
      <c r="O71" s="7">
        <f t="shared" si="3"/>
        <v>8170.2127659574444</v>
      </c>
    </row>
    <row r="72" spans="4:15" x14ac:dyDescent="0.3">
      <c r="D72" s="19"/>
      <c r="E72" s="9" t="s">
        <v>18</v>
      </c>
      <c r="F72" s="8">
        <f t="shared" si="4"/>
        <v>8170.2127659574444</v>
      </c>
      <c r="G72" s="5">
        <f t="shared" ref="G72" si="283">$G$8</f>
        <v>5</v>
      </c>
      <c r="H72" s="8">
        <f t="shared" ref="H72" si="284">$H$8</f>
        <v>3000</v>
      </c>
      <c r="I72" s="9">
        <f t="shared" si="8"/>
        <v>15000</v>
      </c>
      <c r="J72" s="8">
        <f t="shared" si="9"/>
        <v>8170.2127659574444</v>
      </c>
      <c r="K72" s="8">
        <f t="shared" ref="K72" si="285">J71*$O$5</f>
        <v>4085.1063829787236</v>
      </c>
      <c r="L72" s="8">
        <f t="shared" ref="L72" si="286">(J72*$O$5)</f>
        <v>4085.1063829787222</v>
      </c>
      <c r="M72" s="9">
        <f t="shared" si="12"/>
        <v>4085.1063829787236</v>
      </c>
      <c r="N72" s="9">
        <f t="shared" si="2"/>
        <v>8170.2127659574453</v>
      </c>
      <c r="O72" s="7">
        <f t="shared" si="3"/>
        <v>8170.2127659574471</v>
      </c>
    </row>
    <row r="73" spans="4:15" x14ac:dyDescent="0.3">
      <c r="D73" s="19">
        <f t="shared" ref="D73" si="287">N73+N74</f>
        <v>16340.425531914891</v>
      </c>
      <c r="E73" s="9" t="s">
        <v>17</v>
      </c>
      <c r="F73" s="8">
        <f t="shared" si="4"/>
        <v>8170.2127659574471</v>
      </c>
      <c r="G73" s="5">
        <f t="shared" ref="G73" si="288">$G$7</f>
        <v>5</v>
      </c>
      <c r="H73" s="8">
        <f t="shared" ref="H73" si="289">$H$7</f>
        <v>3000</v>
      </c>
      <c r="I73" s="9">
        <f t="shared" si="8"/>
        <v>15000</v>
      </c>
      <c r="J73" s="8">
        <f t="shared" si="9"/>
        <v>8170.2127659574471</v>
      </c>
      <c r="K73" s="8">
        <f t="shared" ref="K73" si="290">J72*$L$5</f>
        <v>4085.1063829787222</v>
      </c>
      <c r="L73" s="8">
        <f t="shared" ref="L73" si="291">(J73*$L$5)</f>
        <v>4085.1063829787236</v>
      </c>
      <c r="M73" s="9">
        <f t="shared" si="12"/>
        <v>4085.1063829787222</v>
      </c>
      <c r="N73" s="9">
        <f t="shared" ref="N73:N82" si="292">L73+M73</f>
        <v>8170.2127659574453</v>
      </c>
      <c r="O73" s="7">
        <f t="shared" ref="O73:O82" si="293">$B$4-(J73+K73)+N73</f>
        <v>8170.2127659574453</v>
      </c>
    </row>
    <row r="74" spans="4:15" x14ac:dyDescent="0.3">
      <c r="D74" s="19"/>
      <c r="E74" s="9" t="s">
        <v>18</v>
      </c>
      <c r="F74" s="8">
        <f t="shared" ref="F74:F82" si="294">IF(G74=$B$14,O73,IF(G74=($B$14-1),O73*($B$14-1)*$B$13,IF(G74=($B$14-2),O73*($B$14-2)*$B$13,IF(G74=($B$14-3),O73*($B$14-3)*$B$13,IF(G74=($B$14-4),O73*($B$14-4)*$B$13,IF(G74=($B$14-5),O73*($B$14-5)*$B$13,IF(G74=($B$14-6),O73*($B$14-6)*$B$13)))))))</f>
        <v>8170.2127659574453</v>
      </c>
      <c r="G74" s="5">
        <f t="shared" ref="G74" si="295">$G$8</f>
        <v>5</v>
      </c>
      <c r="H74" s="8">
        <f t="shared" ref="H74" si="296">$H$8</f>
        <v>3000</v>
      </c>
      <c r="I74" s="9">
        <f t="shared" si="8"/>
        <v>15000</v>
      </c>
      <c r="J74" s="8">
        <f t="shared" si="9"/>
        <v>8170.2127659574453</v>
      </c>
      <c r="K74" s="8">
        <f t="shared" ref="K74" si="297">J73*$O$5</f>
        <v>4085.1063829787236</v>
      </c>
      <c r="L74" s="8">
        <f t="shared" ref="L74" si="298">(J74*$O$5)</f>
        <v>4085.1063829787226</v>
      </c>
      <c r="M74" s="9">
        <f t="shared" si="12"/>
        <v>4085.1063829787236</v>
      </c>
      <c r="N74" s="9">
        <f t="shared" si="292"/>
        <v>8170.2127659574462</v>
      </c>
      <c r="O74" s="7">
        <f t="shared" si="293"/>
        <v>8170.2127659574462</v>
      </c>
    </row>
    <row r="75" spans="4:15" x14ac:dyDescent="0.3">
      <c r="D75" s="19">
        <f t="shared" ref="D75" si="299">N75+N76</f>
        <v>16340.425531914891</v>
      </c>
      <c r="E75" s="9" t="s">
        <v>17</v>
      </c>
      <c r="F75" s="8">
        <f t="shared" si="294"/>
        <v>8170.2127659574462</v>
      </c>
      <c r="G75" s="5">
        <f t="shared" ref="G75" si="300">$G$7</f>
        <v>5</v>
      </c>
      <c r="H75" s="8">
        <f t="shared" ref="H75" si="301">$H$7</f>
        <v>3000</v>
      </c>
      <c r="I75" s="9">
        <f t="shared" ref="I75:I82" si="302">H75*G75</f>
        <v>15000</v>
      </c>
      <c r="J75" s="8">
        <f t="shared" ref="J75:J82" si="303">IF(F75&lt;I75,F75,I75)</f>
        <v>8170.2127659574462</v>
      </c>
      <c r="K75" s="8">
        <f t="shared" ref="K75" si="304">J74*$L$5</f>
        <v>4085.1063829787226</v>
      </c>
      <c r="L75" s="8">
        <f t="shared" ref="L75" si="305">(J75*$L$5)</f>
        <v>4085.1063829787231</v>
      </c>
      <c r="M75" s="9">
        <f t="shared" ref="M75:M82" si="306">K75</f>
        <v>4085.1063829787226</v>
      </c>
      <c r="N75" s="9">
        <f t="shared" si="292"/>
        <v>8170.2127659574453</v>
      </c>
      <c r="O75" s="7">
        <f t="shared" si="293"/>
        <v>8170.2127659574453</v>
      </c>
    </row>
    <row r="76" spans="4:15" x14ac:dyDescent="0.3">
      <c r="D76" s="19"/>
      <c r="E76" s="9" t="s">
        <v>18</v>
      </c>
      <c r="F76" s="8">
        <f t="shared" si="294"/>
        <v>8170.2127659574453</v>
      </c>
      <c r="G76" s="5">
        <f t="shared" ref="G76" si="307">$G$8</f>
        <v>5</v>
      </c>
      <c r="H76" s="8">
        <f t="shared" ref="H76" si="308">$H$8</f>
        <v>3000</v>
      </c>
      <c r="I76" s="9">
        <f t="shared" si="302"/>
        <v>15000</v>
      </c>
      <c r="J76" s="8">
        <f t="shared" si="303"/>
        <v>8170.2127659574453</v>
      </c>
      <c r="K76" s="8">
        <f t="shared" ref="K76" si="309">J75*$O$5</f>
        <v>4085.1063829787231</v>
      </c>
      <c r="L76" s="8">
        <f t="shared" ref="L76" si="310">(J76*$O$5)</f>
        <v>4085.1063829787226</v>
      </c>
      <c r="M76" s="9">
        <f t="shared" si="306"/>
        <v>4085.1063829787231</v>
      </c>
      <c r="N76" s="9">
        <f t="shared" si="292"/>
        <v>8170.2127659574453</v>
      </c>
      <c r="O76" s="7">
        <f t="shared" si="293"/>
        <v>8170.2127659574453</v>
      </c>
    </row>
    <row r="77" spans="4:15" x14ac:dyDescent="0.3">
      <c r="D77" s="19">
        <f t="shared" ref="D77" si="311">N77+N78</f>
        <v>16340.425531914891</v>
      </c>
      <c r="E77" s="9" t="s">
        <v>17</v>
      </c>
      <c r="F77" s="8">
        <f t="shared" si="294"/>
        <v>8170.2127659574453</v>
      </c>
      <c r="G77" s="5">
        <f t="shared" ref="G77" si="312">$G$7</f>
        <v>5</v>
      </c>
      <c r="H77" s="8">
        <f t="shared" ref="H77" si="313">$H$7</f>
        <v>3000</v>
      </c>
      <c r="I77" s="9">
        <f t="shared" si="302"/>
        <v>15000</v>
      </c>
      <c r="J77" s="8">
        <f t="shared" si="303"/>
        <v>8170.2127659574453</v>
      </c>
      <c r="K77" s="8">
        <f t="shared" ref="K77" si="314">J76*$L$5</f>
        <v>4085.1063829787226</v>
      </c>
      <c r="L77" s="8">
        <f t="shared" ref="L77" si="315">(J77*$L$5)</f>
        <v>4085.1063829787226</v>
      </c>
      <c r="M77" s="9">
        <f t="shared" si="306"/>
        <v>4085.1063829787226</v>
      </c>
      <c r="N77" s="9">
        <f t="shared" si="292"/>
        <v>8170.2127659574453</v>
      </c>
      <c r="O77" s="7">
        <f t="shared" si="293"/>
        <v>8170.2127659574471</v>
      </c>
    </row>
    <row r="78" spans="4:15" x14ac:dyDescent="0.3">
      <c r="D78" s="19"/>
      <c r="E78" s="9" t="s">
        <v>18</v>
      </c>
      <c r="F78" s="8">
        <f t="shared" si="294"/>
        <v>8170.2127659574471</v>
      </c>
      <c r="G78" s="5">
        <f t="shared" ref="G78" si="316">$G$8</f>
        <v>5</v>
      </c>
      <c r="H78" s="8">
        <f t="shared" ref="H78" si="317">$H$8</f>
        <v>3000</v>
      </c>
      <c r="I78" s="9">
        <f t="shared" si="302"/>
        <v>15000</v>
      </c>
      <c r="J78" s="8">
        <f t="shared" si="303"/>
        <v>8170.2127659574471</v>
      </c>
      <c r="K78" s="8">
        <f t="shared" ref="K78" si="318">J77*$O$5</f>
        <v>4085.1063829787226</v>
      </c>
      <c r="L78" s="8">
        <f t="shared" ref="L78" si="319">(J78*$O$5)</f>
        <v>4085.1063829787236</v>
      </c>
      <c r="M78" s="9">
        <f t="shared" si="306"/>
        <v>4085.1063829787226</v>
      </c>
      <c r="N78" s="9">
        <f t="shared" si="292"/>
        <v>8170.2127659574462</v>
      </c>
      <c r="O78" s="7">
        <f t="shared" si="293"/>
        <v>8170.2127659574444</v>
      </c>
    </row>
    <row r="79" spans="4:15" x14ac:dyDescent="0.3">
      <c r="D79" s="19">
        <f t="shared" ref="D79" si="320">N79+N80</f>
        <v>16340.425531914891</v>
      </c>
      <c r="E79" s="9" t="s">
        <v>17</v>
      </c>
      <c r="F79" s="8">
        <f t="shared" si="294"/>
        <v>8170.2127659574444</v>
      </c>
      <c r="G79" s="5">
        <f t="shared" ref="G79" si="321">$G$7</f>
        <v>5</v>
      </c>
      <c r="H79" s="8">
        <f t="shared" ref="H79" si="322">$H$7</f>
        <v>3000</v>
      </c>
      <c r="I79" s="9">
        <f t="shared" si="302"/>
        <v>15000</v>
      </c>
      <c r="J79" s="8">
        <f t="shared" si="303"/>
        <v>8170.2127659574444</v>
      </c>
      <c r="K79" s="8">
        <f t="shared" ref="K79" si="323">J78*$L$5</f>
        <v>4085.1063829787236</v>
      </c>
      <c r="L79" s="8">
        <f t="shared" ref="L79" si="324">(J79*$L$5)</f>
        <v>4085.1063829787222</v>
      </c>
      <c r="M79" s="9">
        <f t="shared" si="306"/>
        <v>4085.1063829787236</v>
      </c>
      <c r="N79" s="9">
        <f t="shared" si="292"/>
        <v>8170.2127659574453</v>
      </c>
      <c r="O79" s="7">
        <f t="shared" si="293"/>
        <v>8170.2127659574471</v>
      </c>
    </row>
    <row r="80" spans="4:15" x14ac:dyDescent="0.3">
      <c r="D80" s="19"/>
      <c r="E80" s="9" t="s">
        <v>18</v>
      </c>
      <c r="F80" s="8">
        <f t="shared" si="294"/>
        <v>8170.2127659574471</v>
      </c>
      <c r="G80" s="5">
        <f t="shared" ref="G80" si="325">$G$8</f>
        <v>5</v>
      </c>
      <c r="H80" s="8">
        <f t="shared" ref="H80" si="326">$H$8</f>
        <v>3000</v>
      </c>
      <c r="I80" s="9">
        <f t="shared" si="302"/>
        <v>15000</v>
      </c>
      <c r="J80" s="8">
        <f t="shared" si="303"/>
        <v>8170.2127659574471</v>
      </c>
      <c r="K80" s="8">
        <f t="shared" ref="K80" si="327">J79*$O$5</f>
        <v>4085.1063829787222</v>
      </c>
      <c r="L80" s="8">
        <f t="shared" ref="L80" si="328">(J80*$O$5)</f>
        <v>4085.1063829787236</v>
      </c>
      <c r="M80" s="9">
        <f t="shared" si="306"/>
        <v>4085.1063829787222</v>
      </c>
      <c r="N80" s="9">
        <f t="shared" si="292"/>
        <v>8170.2127659574453</v>
      </c>
      <c r="O80" s="7">
        <f t="shared" si="293"/>
        <v>8170.2127659574453</v>
      </c>
    </row>
    <row r="81" spans="4:15" x14ac:dyDescent="0.3">
      <c r="D81" s="19">
        <f t="shared" ref="D81" si="329">N81+N82</f>
        <v>16340.425531914891</v>
      </c>
      <c r="E81" s="9" t="s">
        <v>17</v>
      </c>
      <c r="F81" s="8">
        <f t="shared" si="294"/>
        <v>8170.2127659574453</v>
      </c>
      <c r="G81" s="5">
        <f t="shared" ref="G81" si="330">$G$7</f>
        <v>5</v>
      </c>
      <c r="H81" s="8">
        <f t="shared" ref="H81" si="331">$H$7</f>
        <v>3000</v>
      </c>
      <c r="I81" s="9">
        <f t="shared" si="302"/>
        <v>15000</v>
      </c>
      <c r="J81" s="8">
        <f t="shared" si="303"/>
        <v>8170.2127659574453</v>
      </c>
      <c r="K81" s="8">
        <f t="shared" ref="K81" si="332">J80*$L$5</f>
        <v>4085.1063829787236</v>
      </c>
      <c r="L81" s="8">
        <f t="shared" ref="L81" si="333">(J81*$L$5)</f>
        <v>4085.1063829787226</v>
      </c>
      <c r="M81" s="9">
        <f t="shared" si="306"/>
        <v>4085.1063829787236</v>
      </c>
      <c r="N81" s="9">
        <f t="shared" si="292"/>
        <v>8170.2127659574462</v>
      </c>
      <c r="O81" s="7">
        <f t="shared" si="293"/>
        <v>8170.2127659574462</v>
      </c>
    </row>
    <row r="82" spans="4:15" x14ac:dyDescent="0.3">
      <c r="D82" s="19"/>
      <c r="E82" s="9" t="s">
        <v>18</v>
      </c>
      <c r="F82" s="8">
        <f t="shared" si="294"/>
        <v>8170.2127659574462</v>
      </c>
      <c r="G82" s="5">
        <f t="shared" ref="G82" si="334">$G$8</f>
        <v>5</v>
      </c>
      <c r="H82" s="8">
        <f t="shared" ref="H82" si="335">$H$8</f>
        <v>3000</v>
      </c>
      <c r="I82" s="9">
        <f t="shared" si="302"/>
        <v>15000</v>
      </c>
      <c r="J82" s="8">
        <f t="shared" si="303"/>
        <v>8170.2127659574462</v>
      </c>
      <c r="K82" s="8">
        <f t="shared" ref="K82" si="336">J81*$O$5</f>
        <v>4085.1063829787226</v>
      </c>
      <c r="L82" s="8">
        <f t="shared" ref="L82" si="337">(J82*$O$5)</f>
        <v>4085.1063829787231</v>
      </c>
      <c r="M82" s="9">
        <f t="shared" si="306"/>
        <v>4085.1063829787226</v>
      </c>
      <c r="N82" s="9">
        <f t="shared" si="292"/>
        <v>8170.2127659574453</v>
      </c>
      <c r="O82" s="7">
        <f t="shared" si="293"/>
        <v>8170.2127659574453</v>
      </c>
    </row>
  </sheetData>
  <mergeCells count="38">
    <mergeCell ref="D17:D18"/>
    <mergeCell ref="D7:D8"/>
    <mergeCell ref="D9:D10"/>
    <mergeCell ref="D11:D12"/>
    <mergeCell ref="D13:D14"/>
    <mergeCell ref="D15:D16"/>
    <mergeCell ref="D41:D42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65:D66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79:D80"/>
    <mergeCell ref="D81:D82"/>
    <mergeCell ref="D67:D68"/>
    <mergeCell ref="D69:D70"/>
    <mergeCell ref="D71:D72"/>
    <mergeCell ref="D73:D74"/>
    <mergeCell ref="D75:D76"/>
    <mergeCell ref="D77:D7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Loop thruput cal for 2feed zone</vt:lpstr>
      <vt:lpstr>Loop thruput cal for 2feed_STD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Jagat Singh</dc:creator>
  <cp:lastModifiedBy>Arkajyoti Chakraborty</cp:lastModifiedBy>
  <dcterms:created xsi:type="dcterms:W3CDTF">2018-08-30T07:20:03Z</dcterms:created>
  <dcterms:modified xsi:type="dcterms:W3CDTF">2025-11-20T07:32:41Z</dcterms:modified>
</cp:coreProperties>
</file>